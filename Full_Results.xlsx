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elaky/Desktop/LV_Final/"/>
    </mc:Choice>
  </mc:AlternateContent>
  <xr:revisionPtr revIDLastSave="0" documentId="13_ncr:1_{A8C77B9F-A9BE-0A47-A2ED-900848227203}" xr6:coauthVersionLast="47" xr6:coauthVersionMax="47" xr10:uidLastSave="{00000000-0000-0000-0000-000000000000}"/>
  <bookViews>
    <workbookView xWindow="3600" yWindow="660" windowWidth="26620" windowHeight="17580" xr2:uid="{C1D26EB6-7DCD-6F4D-AD72-4776865302FA}"/>
  </bookViews>
  <sheets>
    <sheet name="Formulas" sheetId="9" r:id="rId1"/>
    <sheet name="LogRidge&gt;" sheetId="32" r:id="rId2"/>
    <sheet name="LogRidge" sheetId="20" r:id="rId3"/>
    <sheet name="LogRidge-W" sheetId="19" r:id="rId4"/>
    <sheet name="LogRidge Chart" sheetId="33" r:id="rId5"/>
    <sheet name="LogRidge Data" sheetId="34" r:id="rId6"/>
    <sheet name="SVM&gt;" sheetId="29" r:id="rId7"/>
    <sheet name="SVM Linear" sheetId="5" r:id="rId8"/>
    <sheet name="SVM Polynomial" sheetId="12" r:id="rId9"/>
    <sheet name="SVM Radial" sheetId="10" r:id="rId10"/>
    <sheet name="SVM Weighted Radial" sheetId="13" r:id="rId11"/>
    <sheet name="SVM Chart" sheetId="30" r:id="rId12"/>
    <sheet name="SVM Data" sheetId="31" r:id="rId13"/>
    <sheet name="Random Forest&gt;" sheetId="28" r:id="rId14"/>
    <sheet name="RF" sheetId="14" r:id="rId15"/>
    <sheet name="RF-W4" sheetId="15" r:id="rId16"/>
    <sheet name="Random Forest Chart" sheetId="24" r:id="rId17"/>
    <sheet name="Random Forest Data" sheetId="2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4" l="1"/>
  <c r="E30" i="34"/>
  <c r="E31" i="34"/>
  <c r="E32" i="34"/>
  <c r="E33" i="34"/>
  <c r="E34" i="34"/>
  <c r="E35" i="34"/>
  <c r="E28" i="34"/>
  <c r="E21" i="34"/>
  <c r="E22" i="34"/>
  <c r="E23" i="34"/>
  <c r="E24" i="34"/>
  <c r="E25" i="34"/>
  <c r="E26" i="34"/>
  <c r="E27" i="34"/>
  <c r="E20" i="34"/>
  <c r="E13" i="34"/>
  <c r="E14" i="34"/>
  <c r="E15" i="34"/>
  <c r="E16" i="34"/>
  <c r="E17" i="34"/>
  <c r="E18" i="34"/>
  <c r="E19" i="34"/>
  <c r="E12" i="34"/>
  <c r="E5" i="34"/>
  <c r="E6" i="34"/>
  <c r="E7" i="34"/>
  <c r="E8" i="34"/>
  <c r="E9" i="34"/>
  <c r="E10" i="34"/>
  <c r="E11" i="34"/>
  <c r="E4" i="34"/>
  <c r="E61" i="31"/>
  <c r="E62" i="31"/>
  <c r="E63" i="31"/>
  <c r="E64" i="31"/>
  <c r="E65" i="31"/>
  <c r="E66" i="31"/>
  <c r="E67" i="31"/>
  <c r="E60" i="31"/>
  <c r="E53" i="31"/>
  <c r="E54" i="31"/>
  <c r="E55" i="31"/>
  <c r="E56" i="31"/>
  <c r="E57" i="31"/>
  <c r="E58" i="31"/>
  <c r="E59" i="31"/>
  <c r="E52" i="31"/>
  <c r="E45" i="31"/>
  <c r="E46" i="31"/>
  <c r="E47" i="31"/>
  <c r="E48" i="31"/>
  <c r="E49" i="31"/>
  <c r="E50" i="31"/>
  <c r="E51" i="31"/>
  <c r="E44" i="31"/>
  <c r="E37" i="31"/>
  <c r="E38" i="31"/>
  <c r="E39" i="31"/>
  <c r="E40" i="31"/>
  <c r="E41" i="31"/>
  <c r="E42" i="31"/>
  <c r="E43" i="31"/>
  <c r="E36" i="31"/>
  <c r="E29" i="31"/>
  <c r="E30" i="31"/>
  <c r="E31" i="31"/>
  <c r="E32" i="31"/>
  <c r="E33" i="31"/>
  <c r="E34" i="31"/>
  <c r="E35" i="31"/>
  <c r="E28" i="31"/>
  <c r="E21" i="31"/>
  <c r="E22" i="31"/>
  <c r="E23" i="31"/>
  <c r="E24" i="31"/>
  <c r="E25" i="31"/>
  <c r="E26" i="31"/>
  <c r="E27" i="31"/>
  <c r="E20" i="31"/>
  <c r="E13" i="31"/>
  <c r="E14" i="31"/>
  <c r="E15" i="31"/>
  <c r="E16" i="31"/>
  <c r="E17" i="31"/>
  <c r="E18" i="31"/>
  <c r="E19" i="31"/>
  <c r="E12" i="31"/>
  <c r="E4" i="31"/>
  <c r="E5" i="31"/>
  <c r="E6" i="31"/>
  <c r="E7" i="31"/>
  <c r="E8" i="31"/>
  <c r="E9" i="31"/>
  <c r="E10" i="31"/>
  <c r="E11" i="31"/>
  <c r="E45" i="25"/>
  <c r="E46" i="25"/>
  <c r="E47" i="25"/>
  <c r="E48" i="25"/>
  <c r="E49" i="25"/>
  <c r="E50" i="25"/>
  <c r="E51" i="25"/>
  <c r="E44" i="25"/>
  <c r="E37" i="25"/>
  <c r="E38" i="25"/>
  <c r="E39" i="25"/>
  <c r="E40" i="25"/>
  <c r="E41" i="25"/>
  <c r="E42" i="25"/>
  <c r="E43" i="25"/>
  <c r="E36" i="25"/>
  <c r="E29" i="25"/>
  <c r="E30" i="25"/>
  <c r="E31" i="25"/>
  <c r="E32" i="25"/>
  <c r="E33" i="25"/>
  <c r="E34" i="25"/>
  <c r="E35" i="25"/>
  <c r="E28" i="25"/>
  <c r="E21" i="25"/>
  <c r="E22" i="25"/>
  <c r="E23" i="25"/>
  <c r="E24" i="25"/>
  <c r="E25" i="25"/>
  <c r="E26" i="25"/>
  <c r="E27" i="25"/>
  <c r="E20" i="25"/>
</calcChain>
</file>

<file path=xl/sharedStrings.xml><?xml version="1.0" encoding="utf-8"?>
<sst xmlns="http://schemas.openxmlformats.org/spreadsheetml/2006/main" count="1691" uniqueCount="196">
  <si>
    <t>C</t>
  </si>
  <si>
    <t xml:space="preserve">Support Vector Classifier: Linear Kernel </t>
  </si>
  <si>
    <t>degree</t>
  </si>
  <si>
    <t>scale</t>
  </si>
  <si>
    <t>AUC</t>
  </si>
  <si>
    <t>Precision</t>
  </si>
  <si>
    <t>Recall</t>
  </si>
  <si>
    <t>F</t>
  </si>
  <si>
    <t>Predict Yes</t>
  </si>
  <si>
    <t>Predict No</t>
  </si>
  <si>
    <t>Reference Yes</t>
  </si>
  <si>
    <t>Reference No</t>
  </si>
  <si>
    <t>Support Vectors</t>
  </si>
  <si>
    <t>Hyperparameters</t>
  </si>
  <si>
    <t xml:space="preserve">Support Vector Classifier: Polynomial Kernel </t>
  </si>
  <si>
    <t>sigma = 0.001</t>
  </si>
  <si>
    <t>n = 82</t>
  </si>
  <si>
    <t>F-Score</t>
  </si>
  <si>
    <t xml:space="preserve">Accuracy </t>
  </si>
  <si>
    <t>Negative Predictive Value (NPV)</t>
  </si>
  <si>
    <t>Precision (PPV)</t>
  </si>
  <si>
    <t>Specificity</t>
  </si>
  <si>
    <t>Sensitivity</t>
  </si>
  <si>
    <t>Formulas</t>
  </si>
  <si>
    <t>TPR = TP / (TP + FN)</t>
  </si>
  <si>
    <t>PPV = TP / (TP + FP)</t>
  </si>
  <si>
    <t>NPV = TN / (TN + FN)</t>
  </si>
  <si>
    <t>ACC = (TP + TN) / (P + N)</t>
  </si>
  <si>
    <t>MCC</t>
  </si>
  <si>
    <t>Cig9Rc</t>
  </si>
  <si>
    <t>Variable</t>
  </si>
  <si>
    <t>X1</t>
  </si>
  <si>
    <t>X2</t>
  </si>
  <si>
    <t xml:space="preserve">Balanced Accuracy </t>
  </si>
  <si>
    <t>Variable Label</t>
  </si>
  <si>
    <t>Confusion Matrix: Testing Data</t>
  </si>
  <si>
    <t>Confusion Matrix: Training Data*</t>
  </si>
  <si>
    <t>*Model re-fit to full data.</t>
  </si>
  <si>
    <t>Resample</t>
  </si>
  <si>
    <t>Fold5.Rep1</t>
  </si>
  <si>
    <t>Fold5.Rep2</t>
  </si>
  <si>
    <t>Fold2.Rep1</t>
  </si>
  <si>
    <t>Fold2.Rep2</t>
  </si>
  <si>
    <t>Fold2.Rep3</t>
  </si>
  <si>
    <t>Fold4.Rep1</t>
  </si>
  <si>
    <t>Fold4.Rep2</t>
  </si>
  <si>
    <t>Fold1.Rep1</t>
  </si>
  <si>
    <t>Fold1.Rep2</t>
  </si>
  <si>
    <t>Fold1.Rep3</t>
  </si>
  <si>
    <t>Fold3.Rep1</t>
  </si>
  <si>
    <t>Fold3.Rep2</t>
  </si>
  <si>
    <t>Fold3.Rep3</t>
  </si>
  <si>
    <t>Fold3.Rep4</t>
  </si>
  <si>
    <t>Fold3.Rep5</t>
  </si>
  <si>
    <t>Fold5.Rep3</t>
  </si>
  <si>
    <t>Fold5.Rep4</t>
  </si>
  <si>
    <t>Fold5.Rep5</t>
  </si>
  <si>
    <t>Fold2.Rep4</t>
  </si>
  <si>
    <t>Fold2.Rep5</t>
  </si>
  <si>
    <t>Fold4.Rep3</t>
  </si>
  <si>
    <t>Fold4.Rep4</t>
  </si>
  <si>
    <t>Fold4.Rep5</t>
  </si>
  <si>
    <t>Fold1.Rep4</t>
  </si>
  <si>
    <t>Fold1.Rep5</t>
  </si>
  <si>
    <t>C = 0.01</t>
  </si>
  <si>
    <t>Average Repeated 5-Fold Cross-Validation Training Performance</t>
  </si>
  <si>
    <t>Precision SD</t>
  </si>
  <si>
    <t>Recall SD</t>
  </si>
  <si>
    <t>F SD</t>
  </si>
  <si>
    <t>Testing Performance</t>
  </si>
  <si>
    <t>Training Performance</t>
  </si>
  <si>
    <t>Performance Metrics</t>
  </si>
  <si>
    <t>AUC by Repeated Resample</t>
  </si>
  <si>
    <t>Rep1</t>
  </si>
  <si>
    <t>Rep2</t>
  </si>
  <si>
    <t>Rep3</t>
  </si>
  <si>
    <t>Rep4</t>
  </si>
  <si>
    <t>Rep5</t>
  </si>
  <si>
    <t>PRBQ18</t>
  </si>
  <si>
    <t>SCQ14</t>
  </si>
  <si>
    <t>SCQ34</t>
  </si>
  <si>
    <t>PRBQ2</t>
  </si>
  <si>
    <t>PRBQ17</t>
  </si>
  <si>
    <t>SCQ19</t>
  </si>
  <si>
    <t>PRBQ1</t>
  </si>
  <si>
    <t>PRBQ29</t>
  </si>
  <si>
    <t>SCQ3</t>
  </si>
  <si>
    <t>PRBQ14</t>
  </si>
  <si>
    <t>PRBQ23</t>
  </si>
  <si>
    <t>Cig7_X2</t>
  </si>
  <si>
    <t>ContemplationStatus_X2</t>
  </si>
  <si>
    <t>ContemplationStatus_X3</t>
  </si>
  <si>
    <t>ContemplationStatus_X4</t>
  </si>
  <si>
    <t>ContemplationStatus_X5</t>
  </si>
  <si>
    <t>EducationRc_X2</t>
  </si>
  <si>
    <t>EducationRc_X3</t>
  </si>
  <si>
    <t>EducationRc_X4</t>
  </si>
  <si>
    <t>EducationRc_X5</t>
  </si>
  <si>
    <t>EducationRc_X6</t>
  </si>
  <si>
    <t>SoC2BRc_X2</t>
  </si>
  <si>
    <t>SoC5BRc_X2</t>
  </si>
  <si>
    <t>SSEQ8BRc_X2</t>
  </si>
  <si>
    <t>SSEQ8BRc_X3</t>
  </si>
  <si>
    <t>SSEQ8BRc_X4</t>
  </si>
  <si>
    <t>SSS17_X1</t>
  </si>
  <si>
    <t>SSEQ6BRc_X2</t>
  </si>
  <si>
    <t>SSEQ6BRc_X3</t>
  </si>
  <si>
    <t>SSEQ6BRc_X4</t>
  </si>
  <si>
    <t>Repeated 5-Fold Cross-Validation Training Performance for Best Hyperparameter(s)</t>
  </si>
  <si>
    <t>SVM-P</t>
  </si>
  <si>
    <t>SVM-L</t>
  </si>
  <si>
    <t>AUPRC by Repeated Resample</t>
  </si>
  <si>
    <t>AUPRC</t>
  </si>
  <si>
    <t>NaN</t>
  </si>
  <si>
    <t>BACC = (TPR + SPC) / 2</t>
  </si>
  <si>
    <t>F1 score = (2 * PPV * TPR) / (PPV + TPR)</t>
  </si>
  <si>
    <t>Sensitivity (Recall)</t>
  </si>
  <si>
    <t>Positive Predictive Value (Precision)</t>
  </si>
  <si>
    <t>MCC = (TP * TN - FP * FN) / sqrt((TP + FP) * (TN + FN) * (FP + TN) * (TP + FN))</t>
  </si>
  <si>
    <t>Negative Predictive Value</t>
  </si>
  <si>
    <t>F1 Score</t>
  </si>
  <si>
    <t>TNR = TN / (FP + TN)</t>
  </si>
  <si>
    <t>Cig7</t>
  </si>
  <si>
    <t>ContemplationStatus</t>
  </si>
  <si>
    <t>EducationRc</t>
  </si>
  <si>
    <t>SSEQ6BRc</t>
  </si>
  <si>
    <t>SSS17</t>
  </si>
  <si>
    <t>SSEQ8BRc</t>
  </si>
  <si>
    <t>SoC5BRc</t>
  </si>
  <si>
    <t>SoC2BRc</t>
  </si>
  <si>
    <t xml:space="preserve">AUPRC </t>
  </si>
  <si>
    <t>AUPRC SD</t>
  </si>
  <si>
    <t>n = 85</t>
  </si>
  <si>
    <t>sigma</t>
  </si>
  <si>
    <t>NA</t>
  </si>
  <si>
    <t>weight = 4</t>
  </si>
  <si>
    <t>weight</t>
  </si>
  <si>
    <t>SVM-R</t>
  </si>
  <si>
    <t>SVM-WR</t>
  </si>
  <si>
    <t>X1 = 0.66666667</t>
  </si>
  <si>
    <t>AUPRC2</t>
  </si>
  <si>
    <t>ntree</t>
  </si>
  <si>
    <t>mtry</t>
  </si>
  <si>
    <t>RF</t>
  </si>
  <si>
    <t>ntree = 700</t>
  </si>
  <si>
    <t>RF-W4</t>
  </si>
  <si>
    <t>OOB = 16.22%</t>
  </si>
  <si>
    <t>OOB Error Estimates*</t>
  </si>
  <si>
    <t>*From re-fit to full Training (i.e., not Tuning)</t>
  </si>
  <si>
    <t>Confusion Matrix: OOB (Training) Data*</t>
  </si>
  <si>
    <t>mtry = 8</t>
  </si>
  <si>
    <t xml:space="preserve">Random Forest </t>
  </si>
  <si>
    <t xml:space="preserve">Random Forest: Weight 4 </t>
  </si>
  <si>
    <t>Support Vector Classifier: Radial Weight Kernel</t>
  </si>
  <si>
    <t xml:space="preserve">Support Vector Classifier: Radial Kernel </t>
  </si>
  <si>
    <t>sigma = 0.1</t>
  </si>
  <si>
    <t>degree = 2</t>
  </si>
  <si>
    <t>n = 97</t>
  </si>
  <si>
    <t>C = 9</t>
  </si>
  <si>
    <t>C = 0.1</t>
  </si>
  <si>
    <t>sigma = 0.01</t>
  </si>
  <si>
    <t>Training Error*</t>
  </si>
  <si>
    <t>mtry = 10</t>
  </si>
  <si>
    <t>OOB = 16.76%</t>
  </si>
  <si>
    <t>X2 = 0.04697987</t>
  </si>
  <si>
    <t>X1 = 0.69444444</t>
  </si>
  <si>
    <t>X2 = 0.03355705</t>
  </si>
  <si>
    <t>ntree = 300</t>
  </si>
  <si>
    <t>lambda = c(seq(0.1, 10, by=0.1)</t>
  </si>
  <si>
    <t>alpha = 0</t>
  </si>
  <si>
    <t xml:space="preserve">lambda = 0.1	</t>
  </si>
  <si>
    <t>Logistic Ridge Regression</t>
  </si>
  <si>
    <t>LR</t>
  </si>
  <si>
    <r>
      <t xml:space="preserve">Caret </t>
    </r>
    <r>
      <rPr>
        <sz val="12"/>
        <color theme="1"/>
        <rFont val="Calibri"/>
        <family val="2"/>
        <scheme val="minor"/>
      </rPr>
      <t>(AUROC)</t>
    </r>
  </si>
  <si>
    <r>
      <t xml:space="preserve">Manual </t>
    </r>
    <r>
      <rPr>
        <sz val="12"/>
        <color theme="1"/>
        <rFont val="Calibri"/>
        <family val="2"/>
        <scheme val="minor"/>
      </rPr>
      <t>(AUPRC)</t>
    </r>
  </si>
  <si>
    <t>Coefficients</t>
  </si>
  <si>
    <t>lambda = 5.8</t>
  </si>
  <si>
    <t>Training</t>
  </si>
  <si>
    <t>Testing</t>
  </si>
  <si>
    <t>Random Forest</t>
  </si>
  <si>
    <t>PPV</t>
  </si>
  <si>
    <t>NPV</t>
  </si>
  <si>
    <t>TPR</t>
  </si>
  <si>
    <t>TNR</t>
  </si>
  <si>
    <t>ACC</t>
  </si>
  <si>
    <t>F1</t>
  </si>
  <si>
    <t>BACC</t>
  </si>
  <si>
    <t>Support Vector Classifier</t>
  </si>
  <si>
    <t>LogRidge</t>
  </si>
  <si>
    <t xml:space="preserve">0.3056	</t>
  </si>
  <si>
    <t>OOB Estimate</t>
  </si>
  <si>
    <t>LogL2</t>
  </si>
  <si>
    <t>SVM-RW4</t>
  </si>
  <si>
    <t>LogL2-W4</t>
  </si>
  <si>
    <t>Manual AUPRC value represents amount drop in AUPRC when variable is left out.</t>
  </si>
  <si>
    <t>Interpret coefficient values as absolute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</si>
</sst>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i/>
      <sz val="11"/>
      <color rgb="FFB0B0B0"/>
      <name val="Lucida Grande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Lucida Grande"/>
      <family val="2"/>
    </font>
    <font>
      <sz val="12"/>
      <color rgb="FF000000"/>
      <name val="Lucida Grande"/>
      <family val="2"/>
    </font>
    <font>
      <sz val="12"/>
      <color theme="1"/>
      <name val="Lucida Grande"/>
      <family val="2"/>
    </font>
    <font>
      <sz val="11"/>
      <name val="Lucida Grande"/>
      <family val="2"/>
    </font>
    <font>
      <i/>
      <sz val="11"/>
      <name val="Lucida Grande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8" fillId="2" borderId="0" xfId="0" applyFont="1" applyFill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vertical="center"/>
    </xf>
    <xf numFmtId="10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center" vertical="center"/>
    </xf>
    <xf numFmtId="10" fontId="18" fillId="0" borderId="0" xfId="0" applyNumberFormat="1" applyFont="1"/>
    <xf numFmtId="10" fontId="18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0" xfId="0" applyFont="1"/>
    <xf numFmtId="0" fontId="1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Fill="1"/>
    <xf numFmtId="0" fontId="1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/>
    <xf numFmtId="0" fontId="9" fillId="0" borderId="0" xfId="0" applyFont="1" applyFill="1"/>
    <xf numFmtId="0" fontId="9" fillId="0" borderId="0" xfId="0" applyFont="1" applyFill="1" applyAlignment="1">
      <alignment horizontal="center" vertical="center"/>
    </xf>
    <xf numFmtId="0" fontId="3" fillId="0" borderId="0" xfId="0" applyFont="1" applyFill="1"/>
    <xf numFmtId="0" fontId="10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F3E4E816-E774-42FA-AC5D-761814500AC0}"/>
  </cellStyles>
  <dxfs count="2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2.xml"/><Relationship Id="rId1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chartsheet" Target="chartsheets/sheet1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en-US" b="1"/>
              <a:t>MODEL PERFORMANCE COMPARISON</a:t>
            </a:r>
          </a:p>
          <a:p>
            <a:pPr>
              <a:defRPr b="1"/>
            </a:pPr>
            <a:r>
              <a:rPr lang="en-US" b="1"/>
              <a:t>LOGRIDGE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'LogRidge Data'!$B$4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'LogRidge Data'!$C$4:$D$19</c:f>
              <c:multiLvlStrCache>
                <c:ptCount val="16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</c:lvl>
                <c:lvl>
                  <c:pt idx="0">
                    <c:v>LogL2-W4</c:v>
                  </c:pt>
                  <c:pt idx="8">
                    <c:v>LogL2</c:v>
                  </c:pt>
                </c:lvl>
              </c:multiLvlStrCache>
            </c:multiLvlStrRef>
          </c:cat>
          <c:val>
            <c:numRef>
              <c:f>'LogRidge Data'!$E$4:$E$19</c:f>
              <c:numCache>
                <c:formatCode>General</c:formatCode>
                <c:ptCount val="16"/>
                <c:pt idx="0">
                  <c:v>0.22222</c:v>
                </c:pt>
                <c:pt idx="1">
                  <c:v>0.83784000000000003</c:v>
                </c:pt>
                <c:pt idx="2">
                  <c:v>0.25</c:v>
                </c:pt>
                <c:pt idx="3">
                  <c:v>0.81579000000000002</c:v>
                </c:pt>
                <c:pt idx="4">
                  <c:v>0.71740000000000004</c:v>
                </c:pt>
                <c:pt idx="5">
                  <c:v>0.23530000000000001</c:v>
                </c:pt>
                <c:pt idx="6">
                  <c:v>6.2899999999999998E-2</c:v>
                </c:pt>
                <c:pt idx="7">
                  <c:v>0.53003</c:v>
                </c:pt>
                <c:pt idx="8">
                  <c:v>0.1111</c:v>
                </c:pt>
                <c:pt idx="9">
                  <c:v>1</c:v>
                </c:pt>
                <c:pt idx="10">
                  <c:v>1</c:v>
                </c:pt>
                <c:pt idx="11">
                  <c:v>0.82220000000000004</c:v>
                </c:pt>
                <c:pt idx="12">
                  <c:v>0.82609999999999995</c:v>
                </c:pt>
                <c:pt idx="13">
                  <c:v>0.2</c:v>
                </c:pt>
                <c:pt idx="14">
                  <c:v>0.30225000000000002</c:v>
                </c:pt>
                <c:pt idx="15">
                  <c:v>0.55559999999999998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8-4229-8C03-52CDD0B307AC}"/>
            </c:ext>
          </c:extLst>
        </c:ser>
        <c:ser>
          <c:idx val="0"/>
          <c:order val="1"/>
          <c:tx>
            <c:strRef>
              <c:f>'LogRidge Data'!$B$20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'LogRidge Data'!$C$4:$D$19</c:f>
              <c:multiLvlStrCache>
                <c:ptCount val="16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</c:lvl>
                <c:lvl>
                  <c:pt idx="0">
                    <c:v>LogL2-W4</c:v>
                  </c:pt>
                  <c:pt idx="8">
                    <c:v>LogL2</c:v>
                  </c:pt>
                </c:lvl>
              </c:multiLvlStrCache>
            </c:multiLvlStrRef>
          </c:cat>
          <c:val>
            <c:numRef>
              <c:f>'LogRidge Data'!$E$20:$E$35</c:f>
              <c:numCache>
                <c:formatCode>General</c:formatCode>
                <c:ptCount val="16"/>
                <c:pt idx="0">
                  <c:v>0.77780000000000005</c:v>
                </c:pt>
                <c:pt idx="1">
                  <c:v>0.86580000000000001</c:v>
                </c:pt>
                <c:pt idx="2">
                  <c:v>0.58330000000000004</c:v>
                </c:pt>
                <c:pt idx="3">
                  <c:v>0.94159999999999999</c:v>
                </c:pt>
                <c:pt idx="4">
                  <c:v>0.84860000000000002</c:v>
                </c:pt>
                <c:pt idx="5">
                  <c:v>0.66669999999999996</c:v>
                </c:pt>
                <c:pt idx="6">
                  <c:v>0.58120000000000005</c:v>
                </c:pt>
                <c:pt idx="7">
                  <c:v>0.82179999999999997</c:v>
                </c:pt>
                <c:pt idx="8">
                  <c:v>0.41666999999999998</c:v>
                </c:pt>
                <c:pt idx="9">
                  <c:v>0.98658000000000001</c:v>
                </c:pt>
                <c:pt idx="10">
                  <c:v>0.88234999999999997</c:v>
                </c:pt>
                <c:pt idx="11">
                  <c:v>0.875</c:v>
                </c:pt>
                <c:pt idx="12">
                  <c:v>0.87570000000000003</c:v>
                </c:pt>
                <c:pt idx="13">
                  <c:v>0.56599999999999995</c:v>
                </c:pt>
                <c:pt idx="14">
                  <c:v>0.55259999999999998</c:v>
                </c:pt>
                <c:pt idx="15">
                  <c:v>0.70162000000000002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8-4229-8C03-52CDD0B3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66780536"/>
        <c:axId val="666778016"/>
      </c:barChart>
      <c:catAx>
        <c:axId val="666780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Model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78016"/>
        <c:crosses val="autoZero"/>
        <c:auto val="1"/>
        <c:lblAlgn val="ctr"/>
        <c:lblOffset val="100"/>
        <c:noMultiLvlLbl val="0"/>
      </c:catAx>
      <c:valAx>
        <c:axId val="6667780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80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en-US" b="1"/>
              <a:t>MODEL PERFORMANCE COMPARISON</a:t>
            </a:r>
          </a:p>
          <a:p>
            <a:pPr>
              <a:defRPr b="1"/>
            </a:pPr>
            <a:r>
              <a:rPr lang="en-US" b="1"/>
              <a:t>SUPPORT VECTOR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'SVM Data'!$B$4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'SVM Data'!$C$4:$D$35</c:f>
              <c:multiLvlStrCache>
                <c:ptCount val="32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  <c:pt idx="16">
                    <c:v>TPR</c:v>
                  </c:pt>
                  <c:pt idx="17">
                    <c:v>TNR</c:v>
                  </c:pt>
                  <c:pt idx="18">
                    <c:v>PPV</c:v>
                  </c:pt>
                  <c:pt idx="19">
                    <c:v>NPV</c:v>
                  </c:pt>
                  <c:pt idx="20">
                    <c:v>ACC</c:v>
                  </c:pt>
                  <c:pt idx="21">
                    <c:v>F1</c:v>
                  </c:pt>
                  <c:pt idx="22">
                    <c:v>MCC</c:v>
                  </c:pt>
                  <c:pt idx="23">
                    <c:v>BACC</c:v>
                  </c:pt>
                  <c:pt idx="24">
                    <c:v>TPR</c:v>
                  </c:pt>
                  <c:pt idx="25">
                    <c:v>TNR</c:v>
                  </c:pt>
                  <c:pt idx="26">
                    <c:v>PPV</c:v>
                  </c:pt>
                  <c:pt idx="27">
                    <c:v>NPV</c:v>
                  </c:pt>
                  <c:pt idx="28">
                    <c:v>ACC</c:v>
                  </c:pt>
                  <c:pt idx="29">
                    <c:v>F1</c:v>
                  </c:pt>
                  <c:pt idx="30">
                    <c:v>MCC</c:v>
                  </c:pt>
                  <c:pt idx="31">
                    <c:v>BACC</c:v>
                  </c:pt>
                </c:lvl>
                <c:lvl>
                  <c:pt idx="0">
                    <c:v>SVM-L</c:v>
                  </c:pt>
                  <c:pt idx="8">
                    <c:v>SVM-P</c:v>
                  </c:pt>
                  <c:pt idx="16">
                    <c:v>SVM-R</c:v>
                  </c:pt>
                  <c:pt idx="24">
                    <c:v>SVM-RW4</c:v>
                  </c:pt>
                </c:lvl>
              </c:multiLvlStrCache>
            </c:multiLvlStrRef>
          </c:cat>
          <c:val>
            <c:numRef>
              <c:f>'SVM Data'!$E$4:$E$35</c:f>
              <c:numCache>
                <c:formatCode>General</c:formatCode>
                <c:ptCount val="32"/>
                <c:pt idx="0">
                  <c:v>0.22222</c:v>
                </c:pt>
                <c:pt idx="1">
                  <c:v>1</c:v>
                </c:pt>
                <c:pt idx="2">
                  <c:v>1</c:v>
                </c:pt>
                <c:pt idx="3">
                  <c:v>0.84091000000000005</c:v>
                </c:pt>
                <c:pt idx="4">
                  <c:v>0.8478</c:v>
                </c:pt>
                <c:pt idx="5">
                  <c:v>0.36359999999999998</c:v>
                </c:pt>
                <c:pt idx="6">
                  <c:v>0.43230000000000002</c:v>
                </c:pt>
                <c:pt idx="7">
                  <c:v>0.61111000000000004</c:v>
                </c:pt>
                <c:pt idx="8">
                  <c:v>0.1111</c:v>
                </c:pt>
                <c:pt idx="9">
                  <c:v>1</c:v>
                </c:pt>
                <c:pt idx="10">
                  <c:v>1</c:v>
                </c:pt>
                <c:pt idx="11">
                  <c:v>0.82220000000000004</c:v>
                </c:pt>
                <c:pt idx="12">
                  <c:v>0.82609999999999995</c:v>
                </c:pt>
                <c:pt idx="13">
                  <c:v>0.2</c:v>
                </c:pt>
                <c:pt idx="14">
                  <c:v>0.30225000000000002</c:v>
                </c:pt>
                <c:pt idx="15">
                  <c:v>0.55559999999999998</c:v>
                </c:pt>
                <c:pt idx="16">
                  <c:v>0.1111</c:v>
                </c:pt>
                <c:pt idx="17">
                  <c:v>1</c:v>
                </c:pt>
                <c:pt idx="18">
                  <c:v>1</c:v>
                </c:pt>
                <c:pt idx="19">
                  <c:v>0.82220000000000004</c:v>
                </c:pt>
                <c:pt idx="20">
                  <c:v>0.82609999999999995</c:v>
                </c:pt>
                <c:pt idx="21">
                  <c:v>0.2</c:v>
                </c:pt>
                <c:pt idx="22">
                  <c:v>0.30225000000000002</c:v>
                </c:pt>
                <c:pt idx="23">
                  <c:v>0.55559999999999998</c:v>
                </c:pt>
                <c:pt idx="24">
                  <c:v>0.33333000000000002</c:v>
                </c:pt>
                <c:pt idx="25">
                  <c:v>0.81081000000000003</c:v>
                </c:pt>
                <c:pt idx="26">
                  <c:v>0.3</c:v>
                </c:pt>
                <c:pt idx="27">
                  <c:v>0.83333000000000002</c:v>
                </c:pt>
                <c:pt idx="28">
                  <c:v>0.71740000000000004</c:v>
                </c:pt>
                <c:pt idx="29">
                  <c:v>0.31580000000000003</c:v>
                </c:pt>
                <c:pt idx="30">
                  <c:v>0.1386</c:v>
                </c:pt>
                <c:pt idx="31">
                  <c:v>0.57206999999999997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B-4025-87E7-5F7CE726B450}"/>
            </c:ext>
          </c:extLst>
        </c:ser>
        <c:ser>
          <c:idx val="0"/>
          <c:order val="1"/>
          <c:tx>
            <c:strRef>
              <c:f>'SVM Data'!$B$36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'SVM Data'!$C$4:$D$35</c:f>
              <c:multiLvlStrCache>
                <c:ptCount val="32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  <c:pt idx="16">
                    <c:v>TPR</c:v>
                  </c:pt>
                  <c:pt idx="17">
                    <c:v>TNR</c:v>
                  </c:pt>
                  <c:pt idx="18">
                    <c:v>PPV</c:v>
                  </c:pt>
                  <c:pt idx="19">
                    <c:v>NPV</c:v>
                  </c:pt>
                  <c:pt idx="20">
                    <c:v>ACC</c:v>
                  </c:pt>
                  <c:pt idx="21">
                    <c:v>F1</c:v>
                  </c:pt>
                  <c:pt idx="22">
                    <c:v>MCC</c:v>
                  </c:pt>
                  <c:pt idx="23">
                    <c:v>BACC</c:v>
                  </c:pt>
                  <c:pt idx="24">
                    <c:v>TPR</c:v>
                  </c:pt>
                  <c:pt idx="25">
                    <c:v>TNR</c:v>
                  </c:pt>
                  <c:pt idx="26">
                    <c:v>PPV</c:v>
                  </c:pt>
                  <c:pt idx="27">
                    <c:v>NPV</c:v>
                  </c:pt>
                  <c:pt idx="28">
                    <c:v>ACC</c:v>
                  </c:pt>
                  <c:pt idx="29">
                    <c:v>F1</c:v>
                  </c:pt>
                  <c:pt idx="30">
                    <c:v>MCC</c:v>
                  </c:pt>
                  <c:pt idx="31">
                    <c:v>BACC</c:v>
                  </c:pt>
                </c:lvl>
                <c:lvl>
                  <c:pt idx="0">
                    <c:v>SVM-L</c:v>
                  </c:pt>
                  <c:pt idx="8">
                    <c:v>SVM-P</c:v>
                  </c:pt>
                  <c:pt idx="16">
                    <c:v>SVM-R</c:v>
                  </c:pt>
                  <c:pt idx="24">
                    <c:v>SVM-RW4</c:v>
                  </c:pt>
                </c:lvl>
              </c:multiLvlStrCache>
            </c:multiLvlStrRef>
          </c:cat>
          <c:val>
            <c:numRef>
              <c:f>'SVM Data'!$E$36:$E$67</c:f>
              <c:numCache>
                <c:formatCode>General</c:formatCode>
                <c:ptCount val="32"/>
                <c:pt idx="0">
                  <c:v>0.41666999999999998</c:v>
                </c:pt>
                <c:pt idx="1">
                  <c:v>0.97987000000000002</c:v>
                </c:pt>
                <c:pt idx="2">
                  <c:v>0.83333000000000002</c:v>
                </c:pt>
                <c:pt idx="3">
                  <c:v>0.87424999999999997</c:v>
                </c:pt>
                <c:pt idx="4">
                  <c:v>0.87029999999999996</c:v>
                </c:pt>
                <c:pt idx="5">
                  <c:v>0.55559999999999998</c:v>
                </c:pt>
                <c:pt idx="6">
                  <c:v>0.52969999999999995</c:v>
                </c:pt>
                <c:pt idx="7">
                  <c:v>0.69826999999999995</c:v>
                </c:pt>
                <c:pt idx="8">
                  <c:v>0.5</c:v>
                </c:pt>
                <c:pt idx="9">
                  <c:v>0.98660000000000003</c:v>
                </c:pt>
                <c:pt idx="10">
                  <c:v>0.9</c:v>
                </c:pt>
                <c:pt idx="11">
                  <c:v>0.89090000000000003</c:v>
                </c:pt>
                <c:pt idx="12">
                  <c:v>0.89190000000000003</c:v>
                </c:pt>
                <c:pt idx="13">
                  <c:v>0.64290000000000003</c:v>
                </c:pt>
                <c:pt idx="14">
                  <c:v>0.62039999999999995</c:v>
                </c:pt>
                <c:pt idx="15">
                  <c:v>0.74329999999999996</c:v>
                </c:pt>
                <c:pt idx="16">
                  <c:v>0.41666999999999998</c:v>
                </c:pt>
                <c:pt idx="17">
                  <c:v>0.99329000000000001</c:v>
                </c:pt>
                <c:pt idx="18">
                  <c:v>0.9375</c:v>
                </c:pt>
                <c:pt idx="19">
                  <c:v>0.87573999999999996</c:v>
                </c:pt>
                <c:pt idx="20">
                  <c:v>0.88109999999999999</c:v>
                </c:pt>
                <c:pt idx="21">
                  <c:v>0.57689999999999997</c:v>
                </c:pt>
                <c:pt idx="22">
                  <c:v>0.57740000000000002</c:v>
                </c:pt>
                <c:pt idx="23">
                  <c:v>0.70498000000000005</c:v>
                </c:pt>
                <c:pt idx="24">
                  <c:v>0.80559999999999998</c:v>
                </c:pt>
                <c:pt idx="25">
                  <c:v>0.83220000000000005</c:v>
                </c:pt>
                <c:pt idx="26">
                  <c:v>0.53700000000000003</c:v>
                </c:pt>
                <c:pt idx="27">
                  <c:v>0.9466</c:v>
                </c:pt>
                <c:pt idx="28">
                  <c:v>0.82699999999999996</c:v>
                </c:pt>
                <c:pt idx="29">
                  <c:v>0.64439999999999997</c:v>
                </c:pt>
                <c:pt idx="30">
                  <c:v>0.5554</c:v>
                </c:pt>
                <c:pt idx="31">
                  <c:v>0.81889999999999996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B-4025-87E7-5F7CE726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66780536"/>
        <c:axId val="666778016"/>
      </c:barChart>
      <c:catAx>
        <c:axId val="666780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78016"/>
        <c:crosses val="autoZero"/>
        <c:auto val="1"/>
        <c:lblAlgn val="ctr"/>
        <c:lblOffset val="100"/>
        <c:tickLblSkip val="1"/>
        <c:noMultiLvlLbl val="0"/>
      </c:catAx>
      <c:valAx>
        <c:axId val="6667780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80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en-US" b="1"/>
              <a:t>MODEL PERFORMANCE COMPARISON</a:t>
            </a:r>
          </a:p>
          <a:p>
            <a:pPr>
              <a:defRPr b="1"/>
            </a:pPr>
            <a:r>
              <a:rPr lang="en-US" b="1"/>
              <a:t>RANDOM 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'Random Forest Data'!$B$20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'Random Forest Data'!$C$20:$D$35</c:f>
              <c:multiLvlStrCache>
                <c:ptCount val="16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</c:lvl>
                <c:lvl>
                  <c:pt idx="0">
                    <c:v>RF-W4</c:v>
                  </c:pt>
                  <c:pt idx="8">
                    <c:v>RF</c:v>
                  </c:pt>
                </c:lvl>
              </c:multiLvlStrCache>
            </c:multiLvlStrRef>
          </c:cat>
          <c:val>
            <c:numRef>
              <c:f>'Random Forest Data'!$E$20:$E$35</c:f>
              <c:numCache>
                <c:formatCode>General</c:formatCode>
                <c:ptCount val="16"/>
                <c:pt idx="0">
                  <c:v>0.22222</c:v>
                </c:pt>
                <c:pt idx="1">
                  <c:v>1</c:v>
                </c:pt>
                <c:pt idx="2">
                  <c:v>1</c:v>
                </c:pt>
                <c:pt idx="3">
                  <c:v>0.84089999999999998</c:v>
                </c:pt>
                <c:pt idx="4">
                  <c:v>0.8478</c:v>
                </c:pt>
                <c:pt idx="5">
                  <c:v>0.36359999999999998</c:v>
                </c:pt>
                <c:pt idx="6">
                  <c:v>0.43230000000000002</c:v>
                </c:pt>
                <c:pt idx="7">
                  <c:v>0.61111000000000004</c:v>
                </c:pt>
                <c:pt idx="8">
                  <c:v>0.22222</c:v>
                </c:pt>
                <c:pt idx="9">
                  <c:v>0.97297</c:v>
                </c:pt>
                <c:pt idx="10">
                  <c:v>0.66666999999999998</c:v>
                </c:pt>
                <c:pt idx="11">
                  <c:v>0.83721000000000001</c:v>
                </c:pt>
                <c:pt idx="12">
                  <c:v>0.82609999999999995</c:v>
                </c:pt>
                <c:pt idx="13">
                  <c:v>0.33329999999999999</c:v>
                </c:pt>
                <c:pt idx="14">
                  <c:v>0.31359999999999999</c:v>
                </c:pt>
                <c:pt idx="15">
                  <c:v>0.59760000000000002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0-4819-8F19-3E111AE4A9C4}"/>
            </c:ext>
          </c:extLst>
        </c:ser>
        <c:ser>
          <c:idx val="2"/>
          <c:order val="1"/>
          <c:tx>
            <c:strRef>
              <c:f>'Random Forest Data'!$B$4</c:f>
              <c:strCache>
                <c:ptCount val="1"/>
                <c:pt idx="0">
                  <c:v>OOB Estimate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'Random Forest Data'!$C$20:$D$35</c:f>
              <c:multiLvlStrCache>
                <c:ptCount val="16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</c:lvl>
                <c:lvl>
                  <c:pt idx="0">
                    <c:v>RF-W4</c:v>
                  </c:pt>
                  <c:pt idx="8">
                    <c:v>RF</c:v>
                  </c:pt>
                </c:lvl>
              </c:multiLvlStrCache>
            </c:multiLvlStrRef>
          </c:cat>
          <c:val>
            <c:numRef>
              <c:f>'Random Forest Data'!$E$4:$E$19</c:f>
              <c:numCache>
                <c:formatCode>General</c:formatCode>
                <c:ptCount val="16"/>
                <c:pt idx="0">
                  <c:v>0.6875</c:v>
                </c:pt>
                <c:pt idx="1">
                  <c:v>0.85209999999999997</c:v>
                </c:pt>
                <c:pt idx="2">
                  <c:v>0</c:v>
                </c:pt>
                <c:pt idx="3">
                  <c:v>0.96640000000000004</c:v>
                </c:pt>
                <c:pt idx="4">
                  <c:v>0.83779999999999999</c:v>
                </c:pt>
                <c:pt idx="5">
                  <c:v>0.42309999999999998</c:v>
                </c:pt>
                <c:pt idx="6">
                  <c:v>0.3831</c:v>
                </c:pt>
                <c:pt idx="7">
                  <c:v>0.76980000000000004</c:v>
                </c:pt>
                <c:pt idx="8">
                  <c:v>0.63160000000000005</c:v>
                </c:pt>
                <c:pt idx="9">
                  <c:v>0.85540000000000005</c:v>
                </c:pt>
                <c:pt idx="10">
                  <c:v>0.33329999999999999</c:v>
                </c:pt>
                <c:pt idx="11">
                  <c:v>0.95299999999999996</c:v>
                </c:pt>
                <c:pt idx="12">
                  <c:v>0.83240000000000003</c:v>
                </c:pt>
                <c:pt idx="13">
                  <c:v>0.43640000000000001</c:v>
                </c:pt>
                <c:pt idx="14">
                  <c:v>0.37340000000000001</c:v>
                </c:pt>
                <c:pt idx="15">
                  <c:v>0.74350000000000005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0-4819-8F19-3E111AE4A9C4}"/>
            </c:ext>
          </c:extLst>
        </c:ser>
        <c:ser>
          <c:idx val="0"/>
          <c:order val="2"/>
          <c:tx>
            <c:strRef>
              <c:f>'Random Forest Data'!$B$36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'Random Forest Data'!$C$20:$D$35</c:f>
              <c:multiLvlStrCache>
                <c:ptCount val="16"/>
                <c:lvl>
                  <c:pt idx="0">
                    <c:v>TPR</c:v>
                  </c:pt>
                  <c:pt idx="1">
                    <c:v>TNR</c:v>
                  </c:pt>
                  <c:pt idx="2">
                    <c:v>PPV</c:v>
                  </c:pt>
                  <c:pt idx="3">
                    <c:v>NPV</c:v>
                  </c:pt>
                  <c:pt idx="4">
                    <c:v>ACC</c:v>
                  </c:pt>
                  <c:pt idx="5">
                    <c:v>F1</c:v>
                  </c:pt>
                  <c:pt idx="6">
                    <c:v>MCC</c:v>
                  </c:pt>
                  <c:pt idx="7">
                    <c:v>BACC</c:v>
                  </c:pt>
                  <c:pt idx="8">
                    <c:v>TPR</c:v>
                  </c:pt>
                  <c:pt idx="9">
                    <c:v>TNR</c:v>
                  </c:pt>
                  <c:pt idx="10">
                    <c:v>PPV</c:v>
                  </c:pt>
                  <c:pt idx="11">
                    <c:v>NPV</c:v>
                  </c:pt>
                  <c:pt idx="12">
                    <c:v>ACC</c:v>
                  </c:pt>
                  <c:pt idx="13">
                    <c:v>F1</c:v>
                  </c:pt>
                  <c:pt idx="14">
                    <c:v>MCC</c:v>
                  </c:pt>
                  <c:pt idx="15">
                    <c:v>BACC</c:v>
                  </c:pt>
                </c:lvl>
                <c:lvl>
                  <c:pt idx="0">
                    <c:v>RF-W4</c:v>
                  </c:pt>
                  <c:pt idx="8">
                    <c:v>RF</c:v>
                  </c:pt>
                </c:lvl>
              </c:multiLvlStrCache>
            </c:multiLvlStrRef>
          </c:cat>
          <c:val>
            <c:numRef>
              <c:f>'Random Forest Data'!$E$36:$E$51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00-4819-8F19-3E111AE4A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66780536"/>
        <c:axId val="666778016"/>
      </c:barChart>
      <c:catAx>
        <c:axId val="666780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78016"/>
        <c:crosses val="autoZero"/>
        <c:auto val="1"/>
        <c:lblAlgn val="ctr"/>
        <c:lblOffset val="100"/>
        <c:noMultiLvlLbl val="0"/>
      </c:catAx>
      <c:valAx>
        <c:axId val="6667780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6780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FD090-2589-4BE2-A0C7-BC3D92E68C15}">
  <sheetPr/>
  <sheetViews>
    <sheetView zoomScale="172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C68B0A-85B8-4575-AC17-4AB9C0B85B81}">
  <sheetPr/>
  <sheetViews>
    <sheetView zoomScale="233"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4164C8-C6DF-4261-832D-F22AE01A560F}">
  <sheetPr/>
  <sheetViews>
    <sheetView zoomScale="17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2DA35-5164-6D9F-9F35-DC3B3AF35B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7425" cy="62900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F2791-7F14-77AB-890A-787A8FEACF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8B30E-B819-8E21-3161-4F66D8D356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FE903E5-469F-0B43-9BA9-08C99EA8CC92}" name="Table14142546" displayName="Table14142546" ref="B46:F71" totalsRowShown="0" dataDxfId="242">
  <autoFilter ref="B46:F71" xr:uid="{3FE903E5-469F-0B43-9BA9-08C99EA8CC92}"/>
  <sortState xmlns:xlrd2="http://schemas.microsoft.com/office/spreadsheetml/2017/richdata2" ref="B47:F71">
    <sortCondition ref="F48:F73"/>
  </sortState>
  <tableColumns count="5">
    <tableColumn id="1" xr3:uid="{BEA23321-0F85-8E4D-91E9-931CE0E463E1}" name="AUPRC" dataDxfId="241"/>
    <tableColumn id="2" xr3:uid="{A1BB99AC-5865-C642-87B4-A727936FD055}" name="Precision" dataDxfId="240"/>
    <tableColumn id="3" xr3:uid="{4F12210D-CAC2-8B42-B517-E903D8E7291F}" name="Recall" dataDxfId="239"/>
    <tableColumn id="4" xr3:uid="{A8B408C4-F868-684B-A067-004479D563B3}" name="F" dataDxfId="238"/>
    <tableColumn id="6" xr3:uid="{23523B46-EE46-DB42-907D-B5E9C351B4C2}" name="Resample" dataDxfId="2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8DCC079-8828-1449-B091-9F18FE8675FD}" name="Table59121519255152647" displayName="Table59121519255152647" ref="B5:D7" totalsRowShown="0" headerRowDxfId="236" dataDxfId="235">
  <autoFilter ref="B5:D7" xr:uid="{78DCC079-8828-1449-B091-9F18FE8675FD}"/>
  <tableColumns count="3">
    <tableColumn id="1" xr3:uid="{F96D3CBB-7BE8-CE46-8E55-E0A5875FF494}" name="LR" dataDxfId="234"/>
    <tableColumn id="2" xr3:uid="{94F08D8E-09D2-A041-A2DE-37E473A944CA}" name="Reference Yes" dataDxfId="233"/>
    <tableColumn id="3" xr3:uid="{F63D7A6B-BFB9-2A49-889E-E1D65D11DBD8}" name="Reference No" dataDxfId="2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916B2CC-FD01-0B47-8FC9-521799453FD4}" name="Table20203149" displayName="Table20203149" ref="B35:C40" totalsRowShown="0" headerRowDxfId="231" dataDxfId="230">
  <autoFilter ref="B35:C40" xr:uid="{5916B2CC-FD01-0B47-8FC9-521799453FD4}"/>
  <tableColumns count="2">
    <tableColumn id="1" xr3:uid="{293F2B7D-64FD-2D41-80E3-766BEB47AA12}" name="Resample" dataDxfId="229"/>
    <tableColumn id="2" xr3:uid="{81E860B2-814B-3B40-BC85-6365FFE68E9A}" name="AUPRC" dataDxfId="2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989706F-14E1-844A-8CD3-62B5553BA1D2}" name="Table591215192551824651" displayName="Table591215192551824651" ref="B20:D22" totalsRowShown="0" headerRowDxfId="227" dataDxfId="226">
  <autoFilter ref="B20:D22" xr:uid="{3989706F-14E1-844A-8CD3-62B5553BA1D2}"/>
  <tableColumns count="3">
    <tableColumn id="1" xr3:uid="{F8C3C158-8F11-404C-97D7-4CE019FDFF0F}" name="LR" dataDxfId="225"/>
    <tableColumn id="2" xr3:uid="{10930CDD-40C6-6D49-B7AC-2A9C3596E61C}" name="Reference Yes" dataDxfId="224"/>
    <tableColumn id="3" xr3:uid="{C0D629A2-35C0-8B47-B9B4-920655CC6147}" name="Reference No" dataDxfId="22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E0E63BF-BED6-1247-BE17-F54A086BB9E4}" name="Table1414254652" displayName="Table1414254652" ref="B46:F71" totalsRowShown="0" dataDxfId="222">
  <autoFilter ref="B46:F71" xr:uid="{3E0E63BF-BED6-1247-BE17-F54A086BB9E4}"/>
  <sortState xmlns:xlrd2="http://schemas.microsoft.com/office/spreadsheetml/2017/richdata2" ref="B47:F71">
    <sortCondition ref="F48:F73"/>
  </sortState>
  <tableColumns count="5">
    <tableColumn id="1" xr3:uid="{6E31A54C-EC6E-CB48-8BB3-A649AB9E22F2}" name="AUPRC" dataDxfId="221"/>
    <tableColumn id="2" xr3:uid="{0616D182-7135-EC4E-9A8E-EEDCD09E170E}" name="Precision" dataDxfId="220"/>
    <tableColumn id="3" xr3:uid="{9A4E9AA2-E15A-1341-8CD7-7A6781C43BC8}" name="Recall" dataDxfId="219"/>
    <tableColumn id="4" xr3:uid="{8134C3D7-252A-D845-8FA4-E82706E468B5}" name="F" dataDxfId="218"/>
    <tableColumn id="6" xr3:uid="{2275BC4E-1614-C34E-93FA-A1B747C0D124}" name="Resample" dataDxfId="21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CF8105C-D226-9243-A1A0-647CCF50FF8E}" name="Table5912151925515264753" displayName="Table5912151925515264753" ref="B5:D7" totalsRowShown="0" headerRowDxfId="216" dataDxfId="215">
  <autoFilter ref="B5:D7" xr:uid="{7CF8105C-D226-9243-A1A0-647CCF50FF8E}"/>
  <tableColumns count="3">
    <tableColumn id="1" xr3:uid="{304C1F49-3060-9347-A6D0-E5071B9C4B6E}" name="LR" dataDxfId="214"/>
    <tableColumn id="2" xr3:uid="{2D39331B-81E4-9C41-86A4-BA5D13367AE0}" name="Reference Yes" dataDxfId="213"/>
    <tableColumn id="3" xr3:uid="{D0AF684D-821F-4A47-9221-F8F189BA626F}" name="Reference No" dataDxfId="21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A83211F-39B7-AF44-A92B-6D37968B5F3F}" name="Table2020314954" displayName="Table2020314954" ref="B35:C40" totalsRowShown="0" headerRowDxfId="211" dataDxfId="210">
  <autoFilter ref="B35:C40" xr:uid="{9A83211F-39B7-AF44-A92B-6D37968B5F3F}"/>
  <tableColumns count="2">
    <tableColumn id="1" xr3:uid="{A143ABC2-E4B9-5F46-A2ED-8D0FF632639F}" name="Resample" dataDxfId="209"/>
    <tableColumn id="2" xr3:uid="{0E0F46A4-8F16-E746-BA75-B5295F196CBF}" name="AUPRC" dataDxfId="20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FE6C43B-CC64-C247-85CA-A595F608EC4A}" name="Table59121519255182465155" displayName="Table59121519255182465155" ref="B20:D22" totalsRowShown="0" headerRowDxfId="207" dataDxfId="206">
  <autoFilter ref="B20:D22" xr:uid="{8FE6C43B-CC64-C247-85CA-A595F608EC4A}"/>
  <tableColumns count="3">
    <tableColumn id="1" xr3:uid="{4BF7C786-AB49-7A4C-BEC9-5A4732AA9E09}" name="LR" dataDxfId="205"/>
    <tableColumn id="2" xr3:uid="{8A3B0677-AEF2-B347-81C2-24DACE2E12F3}" name="Reference Yes" dataDxfId="204"/>
    <tableColumn id="3" xr3:uid="{3D77FB60-794F-434E-9B0E-01DE9388F304}" name="Reference No" dataDxfId="20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12D0A2-5182-A241-BA21-EB7B8977C14D}" name="Table14" displayName="Table14" ref="B21:F46" totalsRowShown="0" dataDxfId="202">
  <autoFilter ref="B21:F46" xr:uid="{AC12D0A2-5182-A241-BA21-EB7B8977C14D}"/>
  <sortState xmlns:xlrd2="http://schemas.microsoft.com/office/spreadsheetml/2017/richdata2" ref="B22:F46">
    <sortCondition ref="F21:F46"/>
  </sortState>
  <tableColumns count="5">
    <tableColumn id="1" xr3:uid="{8D994E0B-FBBD-1342-9D3B-FB7C03340E07}" name="AUPRC" dataDxfId="201"/>
    <tableColumn id="2" xr3:uid="{DCC4FA22-C689-E342-8C05-EC2EEAB942D7}" name="Precision" dataDxfId="200"/>
    <tableColumn id="3" xr3:uid="{0ADE82D0-7989-7844-9CF1-7D9A6087AA3A}" name="Recall" dataDxfId="199"/>
    <tableColumn id="4" xr3:uid="{36234074-43AF-B945-B264-7501EADB15B7}" name="F" dataDxfId="198"/>
    <tableColumn id="6" xr3:uid="{88993414-8A36-DF47-A284-B5C5C0D8D4A9}" name="Resample" dataDxfId="197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A94377-E5BC-BF45-8AB5-FDFD5AA38E17}" name="Table59121519255" displayName="Table59121519255" ref="L5:N7" totalsRowShown="0" headerRowDxfId="196" dataDxfId="195">
  <autoFilter ref="L5:N7" xr:uid="{2BA94377-E5BC-BF45-8AB5-FDFD5AA38E17}"/>
  <tableColumns count="3">
    <tableColumn id="1" xr3:uid="{5007A4C0-44DA-9D42-9B3C-099AFE594979}" name="SVM-L" dataDxfId="194"/>
    <tableColumn id="2" xr3:uid="{59D9F3E7-09B4-A842-AD97-96B8B365A31F}" name="Reference Yes" dataDxfId="193"/>
    <tableColumn id="3" xr3:uid="{E0767463-1A9C-D84C-BB63-774BD16975B9}" name="Reference No" dataDxfId="19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769DAE2-B066-F94F-9A84-5B07B43AD8E5}" name="Table5912151925518" displayName="Table5912151925518" ref="L20:N22" totalsRowShown="0" headerRowDxfId="191" dataDxfId="190">
  <autoFilter ref="L20:N22" xr:uid="{A769DAE2-B066-F94F-9A84-5B07B43AD8E5}"/>
  <tableColumns count="3">
    <tableColumn id="1" xr3:uid="{DE672959-17E6-9B4A-ACBC-31053D8DC663}" name="SVM-L" dataDxfId="189"/>
    <tableColumn id="2" xr3:uid="{FE47BA47-680F-D943-A609-F7F4BFDE0457}" name="Reference Yes" dataDxfId="188"/>
    <tableColumn id="3" xr3:uid="{21468E28-EFE2-2D4C-BBB0-3AC027749661}" name="Reference No" dataDxfId="187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3DBE4AD-1D70-8D48-95F7-7AB79B378868}" name="Table18" displayName="Table18" ref="B5:J18" totalsRowShown="0" headerRowDxfId="186" dataDxfId="185">
  <autoFilter ref="B5:J18" xr:uid="{A3DBE4AD-1D70-8D48-95F7-7AB79B378868}"/>
  <tableColumns count="9">
    <tableColumn id="1" xr3:uid="{6FFFBF9B-ECC7-C847-B73F-D28E15D93D57}" name="C" dataDxfId="184"/>
    <tableColumn id="2" xr3:uid="{44326B37-260A-C14B-BEE3-1054450BCB70}" name="AUPRC" dataDxfId="183"/>
    <tableColumn id="3" xr3:uid="{B3EB5F58-91BE-F54A-8712-371B3F466A62}" name="Precision" dataDxfId="182"/>
    <tableColumn id="4" xr3:uid="{0756CCA8-B91F-E941-B12E-5F4B2653927F}" name="Recall" dataDxfId="181"/>
    <tableColumn id="5" xr3:uid="{BF9C800F-2EC6-B94E-A163-20FFFAA5AFB8}" name="F" dataDxfId="180"/>
    <tableColumn id="6" xr3:uid="{E12ACE88-DF73-254F-9876-449F18CE4255}" name="AUPRC SD" dataDxfId="179"/>
    <tableColumn id="7" xr3:uid="{2E7FFE25-0FE3-494D-BCA4-317CBD864872}" name="Precision SD" dataDxfId="178"/>
    <tableColumn id="8" xr3:uid="{20C4CE5D-35B1-BD45-9700-072364051DC2}" name="Recall SD" dataDxfId="177"/>
    <tableColumn id="9" xr3:uid="{FE8B1C16-8417-DD4E-8D7C-8A9CE39D1A49}" name="F SD" dataDxfId="17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1F6144-1429-1947-B6DA-0ACED13B978C}" name="Table20" displayName="Table20" ref="H24:I29" totalsRowShown="0" headerRowDxfId="175" dataDxfId="174">
  <autoFilter ref="H24:I29" xr:uid="{D81F6144-1429-1947-B6DA-0ACED13B978C}"/>
  <tableColumns count="2">
    <tableColumn id="1" xr3:uid="{F8904BB2-3E28-DA4C-9E86-765D292CC8CC}" name="Resample" dataDxfId="173"/>
    <tableColumn id="2" xr3:uid="{8DF6B9A1-AE42-5649-853E-749C94B53F4C}" name="AUPRC" dataDxfId="172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718BD-A1FA-A047-8144-F713AFC80DE7}" name="Table14222" displayName="Table14222" ref="N48:R73" totalsRowShown="0" dataDxfId="171">
  <autoFilter ref="N48:R73" xr:uid="{AC12D0A2-5182-A241-BA21-EB7B8977C14D}"/>
  <tableColumns count="5">
    <tableColumn id="1" xr3:uid="{15D4A15E-31F0-524A-B377-FE8DE0E67063}" name="AUPRC" dataDxfId="170"/>
    <tableColumn id="2" xr3:uid="{1A846479-5DF4-AA4B-A152-25D7307AB7A1}" name="Precision" dataDxfId="169"/>
    <tableColumn id="3" xr3:uid="{C2477872-F145-C841-8427-FD96D8DA1A5C}" name="Recall" dataDxfId="168"/>
    <tableColumn id="4" xr3:uid="{4821CFDD-A050-9143-A371-948C67034B59}" name="F" dataDxfId="167"/>
    <tableColumn id="6" xr3:uid="{037030F9-2A89-BA4A-B0A2-490D4015EA4B}" name="Resample" dataDxfId="166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0983B-DAFE-FD4F-8449-061EFC478ADA}" name="Table59121519255233" displayName="Table59121519255233" ref="N5:P7" totalsRowShown="0" headerRowDxfId="165" dataDxfId="164">
  <autoFilter ref="N5:P7" xr:uid="{2BA94377-E5BC-BF45-8AB5-FDFD5AA38E17}"/>
  <tableColumns count="3">
    <tableColumn id="1" xr3:uid="{B4B2CDC9-1402-BD4B-9D3B-895689164AB1}" name="SVM-P" dataDxfId="163"/>
    <tableColumn id="2" xr3:uid="{468DA8AB-610B-3F40-991D-C0906E0E7623}" name="Reference Yes" dataDxfId="162"/>
    <tableColumn id="3" xr3:uid="{77ABB970-CBD7-B14F-BD0C-6BAE195C0EAE}" name="Reference No" dataDxfId="16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D2B839-0731-B044-8CCD-BF00A6A5C0DB}" name="Table5912151925518246" displayName="Table5912151925518246" ref="N20:P22" totalsRowShown="0" headerRowDxfId="160" dataDxfId="159">
  <autoFilter ref="N20:P22" xr:uid="{A769DAE2-B066-F94F-9A84-5B07B43AD8E5}"/>
  <tableColumns count="3">
    <tableColumn id="1" xr3:uid="{81074F31-2043-0640-ADC6-6920A4F14253}" name="SVM-P" dataDxfId="158"/>
    <tableColumn id="2" xr3:uid="{8345C680-0F8D-4B48-85B8-8EC26EF3841E}" name="Reference Yes" dataDxfId="157"/>
    <tableColumn id="3" xr3:uid="{C8DF72B4-DD95-6445-AA6D-C82636EA85FC}" name="Reference No" dataDxfId="156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BCD757-DD72-5F44-B2BD-1C5F09DE7BD3}" name="Table277" displayName="Table277" ref="B5:L135" totalsRowShown="0" headerRowDxfId="155" dataDxfId="154">
  <autoFilter ref="B5:L135" xr:uid="{A75340FD-4314-764D-BFC7-4CA4291E4D39}"/>
  <tableColumns count="11">
    <tableColumn id="1" xr3:uid="{9FF18BF4-6688-0045-8336-F7F6054EA43F}" name="C" dataDxfId="153"/>
    <tableColumn id="2" xr3:uid="{FD2251FA-903F-2C4E-9AB9-B4B65CB6EF0B}" name="degree" dataDxfId="152"/>
    <tableColumn id="3" xr3:uid="{1DCF569B-76E3-2C47-AC60-B8E5A3401292}" name="scale" dataDxfId="151"/>
    <tableColumn id="4" xr3:uid="{F8C2DEAD-D690-0F40-B64F-3A10CB3ECB87}" name="AUPRC " dataDxfId="150"/>
    <tableColumn id="5" xr3:uid="{C3C730C7-F055-2C46-9C38-51E158BA4155}" name="Precision" dataDxfId="149"/>
    <tableColumn id="6" xr3:uid="{4BC6E022-EE79-B840-938F-D8C80543CF34}" name="Recall" dataDxfId="148"/>
    <tableColumn id="7" xr3:uid="{FACA3F1D-EFEF-1742-982C-622142D07203}" name="F" dataDxfId="147"/>
    <tableColumn id="8" xr3:uid="{1247D46B-007F-B84B-AB4F-995B63EB892B}" name="AUPRC SD" dataDxfId="146"/>
    <tableColumn id="9" xr3:uid="{3B156591-6660-194F-AA5F-0C7EDF6BFD63}" name="Precision SD" dataDxfId="145"/>
    <tableColumn id="10" xr3:uid="{77A86A36-50FB-4347-A018-B1B0B14B7B94}" name="Recall SD" dataDxfId="144"/>
    <tableColumn id="11" xr3:uid="{505EC552-17A8-174D-B5A0-521C085BAA3D}" name="F SD" dataDxfId="143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D8F8AF-B027-4144-BC96-00AFA2172F48}" name="Table20298" displayName="Table20298" ref="N35:O40" totalsRowShown="0" headerRowDxfId="142" dataDxfId="141">
  <autoFilter ref="N35:O40" xr:uid="{ECF8336C-3D36-544A-A8F4-F87552D2BB9B}"/>
  <tableColumns count="2">
    <tableColumn id="1" xr3:uid="{3E42B548-27C5-784D-8509-0C52D4904884}" name="Resample" dataDxfId="140"/>
    <tableColumn id="2" xr3:uid="{52B27E03-A87E-A240-970E-64FC64FDC4A7}" name="AUC" dataDxfId="139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EA224B-4D76-634E-98E9-D8AFBEB267A7}" name="Table1422" displayName="Table1422" ref="M47:Q72" totalsRowShown="0" dataDxfId="138">
  <autoFilter ref="M47:Q72" xr:uid="{AC12D0A2-5182-A241-BA21-EB7B8977C14D}"/>
  <tableColumns count="5">
    <tableColumn id="1" xr3:uid="{E7B98F3F-6A67-7543-AF27-B3B96252C531}" name="AUPRC" dataDxfId="137"/>
    <tableColumn id="2" xr3:uid="{32BF6536-D6A5-FD4C-BC1D-D9C255CA2A1B}" name="Precision" dataDxfId="136"/>
    <tableColumn id="3" xr3:uid="{7D178A9E-444F-824D-8E12-2CEA05ADC685}" name="Recall" dataDxfId="135"/>
    <tableColumn id="4" xr3:uid="{BBA8EC1C-447E-B943-8803-CB9831F5AC18}" name="F" dataDxfId="134"/>
    <tableColumn id="6" xr3:uid="{C8034001-6DC6-B34A-BA83-70E4E144C95E}" name="Resample" dataDxfId="133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3B2994D-1AEA-344E-99BE-67BDF898F883}" name="Table5912151925523" displayName="Table5912151925523" ref="M5:O7" totalsRowShown="0" headerRowDxfId="132" dataDxfId="131">
  <autoFilter ref="M5:O7" xr:uid="{2BA94377-E5BC-BF45-8AB5-FDFD5AA38E17}"/>
  <tableColumns count="3">
    <tableColumn id="1" xr3:uid="{53361B9C-7C16-CB47-9207-37AC9878221F}" name="SVM-R" dataDxfId="130"/>
    <tableColumn id="2" xr3:uid="{FA6C5603-3C7A-4F48-BB2A-68050D09E0A6}" name="Reference Yes" dataDxfId="129"/>
    <tableColumn id="3" xr3:uid="{99CDECA1-B4A8-5248-8323-D05482B734B0}" name="Reference No" dataDxfId="128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6D3CCBC-90CD-2142-B37E-A3E76EA57840}" name="Table591215192551824" displayName="Table591215192551824" ref="M20:O22" totalsRowShown="0" headerRowDxfId="127" dataDxfId="126">
  <autoFilter ref="M20:O22" xr:uid="{A769DAE2-B066-F94F-9A84-5B07B43AD8E5}"/>
  <tableColumns count="3">
    <tableColumn id="1" xr3:uid="{78FEFD8E-F07C-4D43-BA54-EA26035B693A}" name="SVM-R" dataDxfId="125"/>
    <tableColumn id="2" xr3:uid="{7F28C3F4-095F-D141-AAB9-41052EA34CAA}" name="Reference Yes" dataDxfId="124"/>
    <tableColumn id="3" xr3:uid="{BF7A63EA-989C-0E48-915C-CE611690AE3E}" name="Reference No" dataDxfId="123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75340FD-4314-764D-BFC7-4CA4291E4D39}" name="Table27" displayName="Table27" ref="B5:K70" totalsRowShown="0" headerRowDxfId="122" dataDxfId="121">
  <autoFilter ref="B5:K70" xr:uid="{A75340FD-4314-764D-BFC7-4CA4291E4D39}"/>
  <tableColumns count="10">
    <tableColumn id="1" xr3:uid="{6E660BB6-8837-B34F-A675-D165BD9BB2F9}" name="C" dataDxfId="120"/>
    <tableColumn id="3" xr3:uid="{60D48C88-DCC8-AF4F-8732-C888191B2FA6}" name="sigma" dataDxfId="119"/>
    <tableColumn id="4" xr3:uid="{BD2E5616-5804-8F47-9984-C2BF0E632504}" name="AUPRC " dataDxfId="118"/>
    <tableColumn id="5" xr3:uid="{7977817A-4DE7-7847-BEA4-3DACE0B29EB2}" name="Precision" dataDxfId="117"/>
    <tableColumn id="6" xr3:uid="{19DD032D-A68B-AB4D-B1EB-83CDB8A337B6}" name="Recall" dataDxfId="116"/>
    <tableColumn id="7" xr3:uid="{F09EEDD7-1724-B244-AB90-4E7734591D23}" name="F" dataDxfId="115"/>
    <tableColumn id="8" xr3:uid="{A7A86EB2-F4F2-C94F-93FE-BC5BD7BB1717}" name="AUPRC SD" dataDxfId="114"/>
    <tableColumn id="9" xr3:uid="{84247D35-F855-CD43-BBA4-24BC1E40C490}" name="Precision SD" dataDxfId="113"/>
    <tableColumn id="10" xr3:uid="{42A7E6C4-271E-0E49-B412-D5856585B937}" name="Recall SD" dataDxfId="112"/>
    <tableColumn id="11" xr3:uid="{D69C586E-0410-794E-A9B0-408E88E54207}" name="F SD" dataDxfId="111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CF8336C-3D36-544A-A8F4-F87552D2BB9B}" name="Table2029" displayName="Table2029" ref="M35:N40" totalsRowShown="0" headerRowDxfId="110" dataDxfId="109">
  <autoFilter ref="M35:N40" xr:uid="{ECF8336C-3D36-544A-A8F4-F87552D2BB9B}"/>
  <tableColumns count="2">
    <tableColumn id="1" xr3:uid="{1BE7CEBB-1694-394F-92F0-D9E7F1A550DE}" name="Resample" dataDxfId="108"/>
    <tableColumn id="2" xr3:uid="{C3E14133-CA0D-5B45-A411-DF8B786085B8}" name="AUC" dataDxfId="107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78C316-EBF7-8345-8C62-EEF0CAB8C13F}" name="Table14229" displayName="Table14229" ref="N48:R73" totalsRowShown="0" dataDxfId="106">
  <autoFilter ref="N48:R73" xr:uid="{AC12D0A2-5182-A241-BA21-EB7B8977C14D}"/>
  <tableColumns count="5">
    <tableColumn id="1" xr3:uid="{8AD34569-259F-AB41-8D6D-BCAE7B131E1E}" name="AUPRC" dataDxfId="105"/>
    <tableColumn id="2" xr3:uid="{36243855-1C7B-3942-9B7D-F5CDCB8D9EE1}" name="Precision" dataDxfId="104"/>
    <tableColumn id="3" xr3:uid="{EDE98FEE-2D38-A949-BFB6-18523AC42970}" name="Recall" dataDxfId="103"/>
    <tableColumn id="4" xr3:uid="{6E70DD0D-825D-0643-93DB-299E78E57D1B}" name="F" dataDxfId="102"/>
    <tableColumn id="6" xr3:uid="{2F8A4B5B-45BA-E84F-8280-0EC660FFFE44}" name="Resample" dataDxfId="101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98D26E-6F27-6F40-982F-CD8184666CEF}" name="Table591215192552310" displayName="Table591215192552310" ref="N5:P7" totalsRowShown="0" headerRowDxfId="100" dataDxfId="99">
  <autoFilter ref="N5:P7" xr:uid="{2BA94377-E5BC-BF45-8AB5-FDFD5AA38E17}"/>
  <tableColumns count="3">
    <tableColumn id="1" xr3:uid="{98A83BA0-9F9E-1743-8081-9E8B9C9B8ED9}" name="SVM-WR" dataDxfId="98"/>
    <tableColumn id="2" xr3:uid="{BC7623AB-2266-FC44-A930-53AD1BF5AE8F}" name="Reference Yes" dataDxfId="97"/>
    <tableColumn id="3" xr3:uid="{25759652-27B9-E54C-8AC2-3F7D5DFDD663}" name="Reference No" dataDxfId="96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55955F-B2B0-3349-9C25-E3C9A7CEF785}" name="Table59121519255182411" displayName="Table59121519255182411" ref="N20:P22" totalsRowShown="0" headerRowDxfId="95" dataDxfId="94">
  <autoFilter ref="N20:P22" xr:uid="{A769DAE2-B066-F94F-9A84-5B07B43AD8E5}"/>
  <tableColumns count="3">
    <tableColumn id="1" xr3:uid="{5AEA7179-8BE2-A045-B2D1-3C255E6ACC8E}" name="SVM-WR" dataDxfId="93"/>
    <tableColumn id="2" xr3:uid="{45A3D5BE-057E-7B44-92D2-8ED3E7173350}" name="Reference Yes" dataDxfId="92"/>
    <tableColumn id="3" xr3:uid="{5394381D-1828-4D4D-8B0E-732F6238EA2A}" name="Reference No" dataDxfId="91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C73FA5-6866-A74C-962E-4940FB1E9C43}" name="Table2712" displayName="Table2712" ref="B5:L200" totalsRowShown="0" headerRowDxfId="90" dataDxfId="89">
  <autoFilter ref="B5:L200" xr:uid="{A75340FD-4314-764D-BFC7-4CA4291E4D39}"/>
  <tableColumns count="11">
    <tableColumn id="1" xr3:uid="{5D74FBA3-4FDF-B548-B963-E6B75F3E92D3}" name="C" dataDxfId="88"/>
    <tableColumn id="2" xr3:uid="{679E5DCB-4605-7148-931B-1A64FF47D0AC}" name="sigma" dataDxfId="87"/>
    <tableColumn id="3" xr3:uid="{5F7E8B78-B3C9-E24C-BAD7-833DDC5B6217}" name="weight" dataDxfId="86"/>
    <tableColumn id="4" xr3:uid="{7D569A83-10EF-D54C-85FD-DE7A5EE67FAE}" name="AUPRC " dataDxfId="85"/>
    <tableColumn id="5" xr3:uid="{55FEC6B0-EE52-5D43-94A1-BDBBE8A2B6E8}" name="Precision" dataDxfId="84"/>
    <tableColumn id="6" xr3:uid="{D229F410-8418-FA43-A89A-D70B51022B5E}" name="Recall" dataDxfId="83"/>
    <tableColumn id="7" xr3:uid="{85C4B434-A52B-DA40-9D49-3DBDA92AE015}" name="F" dataDxfId="82"/>
    <tableColumn id="8" xr3:uid="{6AC5BE6E-EE77-6C42-A76D-1B6EC895C9C2}" name="AUPRC SD" dataDxfId="81"/>
    <tableColumn id="9" xr3:uid="{4FB53C1D-E3D5-7A4A-9CA4-C4E5BC5BFFBE}" name="Precision SD" dataDxfId="80"/>
    <tableColumn id="10" xr3:uid="{2A30BA2F-809D-8848-A619-84754F5FA8EF}" name="Recall SD" dataDxfId="79"/>
    <tableColumn id="11" xr3:uid="{7469DD58-F6D8-A548-850E-4884939B76A1}" name="F SD" dataDxfId="78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B399F24-5799-7C4E-9BA2-17092914B612}" name="Table202913" displayName="Table202913" ref="N35:O40" totalsRowShown="0" headerRowDxfId="77" dataDxfId="76">
  <autoFilter ref="N35:O40" xr:uid="{ECF8336C-3D36-544A-A8F4-F87552D2BB9B}"/>
  <tableColumns count="2">
    <tableColumn id="1" xr3:uid="{75469D8E-A42B-CC4D-8B6E-2CB1535F1B8B}" name="Resample" dataDxfId="75"/>
    <tableColumn id="2" xr3:uid="{88591D9C-B27D-664D-9A4B-D15063A80CA3}" name="AUC" dataDxfId="74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4E7D47-88BD-4948-B016-F47E0EE19F31}" name="Table1414" displayName="Table1414" ref="M45:Q70" totalsRowShown="0" dataDxfId="73">
  <autoFilter ref="M45:Q70" xr:uid="{AC12D0A2-5182-A241-BA21-EB7B8977C14D}"/>
  <sortState xmlns:xlrd2="http://schemas.microsoft.com/office/spreadsheetml/2017/richdata2" ref="M46:Q70">
    <sortCondition ref="Q45:Q70"/>
  </sortState>
  <tableColumns count="5">
    <tableColumn id="1" xr3:uid="{210F667F-AB5E-AF44-B17B-39EE79B00015}" name="AUPRC" dataDxfId="72"/>
    <tableColumn id="2" xr3:uid="{1FF9066C-9C87-3547-BAB1-D0403C758B01}" name="Precision" dataDxfId="71"/>
    <tableColumn id="3" xr3:uid="{EFCCF9A5-52BE-AC43-B8FB-67C80536AF23}" name="Recall" dataDxfId="70"/>
    <tableColumn id="4" xr3:uid="{A32EEF93-CC3F-F343-8E59-7D5746E06604}" name="F" dataDxfId="69"/>
    <tableColumn id="6" xr3:uid="{46BE155A-47D6-9F48-A11B-85AD0DE1EDE7}" name="Resample" dataDxfId="68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73838B-5AF6-4346-8F5C-CFFE37F93C3E}" name="Table5912151925515" displayName="Table5912151925515" ref="M5:O7" totalsRowShown="0" headerRowDxfId="67" dataDxfId="66">
  <autoFilter ref="M5:O7" xr:uid="{2BA94377-E5BC-BF45-8AB5-FDFD5AA38E17}"/>
  <tableColumns count="3">
    <tableColumn id="1" xr3:uid="{0AEA786F-2CAE-4B48-A432-A251EB310F33}" name="RF" dataDxfId="65"/>
    <tableColumn id="2" xr3:uid="{FFB1952E-F9E3-C44D-8274-639AA819622B}" name="Reference Yes" dataDxfId="64"/>
    <tableColumn id="3" xr3:uid="{C1D95DFB-52DC-8640-8BFE-A72AF8711FD1}" name="Reference No" dataDxfId="63"/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B6D509-8E44-AE4C-A8CE-D601F0C8B438}" name="Table591215192551816" displayName="Table591215192551816" ref="M20:O22" totalsRowShown="0" headerRowDxfId="62" dataDxfId="61">
  <autoFilter ref="M20:O22" xr:uid="{A769DAE2-B066-F94F-9A84-5B07B43AD8E5}"/>
  <tableColumns count="3">
    <tableColumn id="1" xr3:uid="{822BFC1D-F4AE-0C46-9AD2-E701D496578C}" name="RF" dataDxfId="60"/>
    <tableColumn id="2" xr3:uid="{6D1AFB10-C842-4B4B-A32D-6527999FF32D}" name="Reference Yes" dataDxfId="59"/>
    <tableColumn id="3" xr3:uid="{BAB3DE47-498A-AC4F-8D51-075A22308179}" name="Reference No" dataDxfId="58"/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D991F50-57E9-3A45-84A6-0E0DF3A0FF61}" name="Table1817" displayName="Table1817" ref="B5:K68" totalsRowShown="0" headerRowDxfId="57" dataDxfId="56">
  <autoFilter ref="B5:K68" xr:uid="{A3DBE4AD-1D70-8D48-95F7-7AB79B378868}"/>
  <tableColumns count="10">
    <tableColumn id="1" xr3:uid="{94644CAD-F363-0F44-8432-4FEE4E61D54B}" name="mtry" dataDxfId="55"/>
    <tableColumn id="2" xr3:uid="{60837E39-876E-C845-BD18-63DA124A965C}" name="ntree" dataDxfId="54"/>
    <tableColumn id="3" xr3:uid="{19D76735-941E-9145-BF75-59893E6C96BF}" name="AUPRC2" dataDxfId="53"/>
    <tableColumn id="4" xr3:uid="{B3C83897-8E08-F942-9D24-73B043C1E74D}" name="Precision" dataDxfId="52"/>
    <tableColumn id="5" xr3:uid="{309E0381-4745-6E41-9E91-3AF0178F492C}" name="Recall" dataDxfId="51"/>
    <tableColumn id="10" xr3:uid="{33879917-88F6-F549-A0EF-A335FDF67842}" name="F" dataDxfId="50"/>
    <tableColumn id="6" xr3:uid="{AF178FCF-F98B-6F4D-8C5D-498FC814EE99}" name="AUPRC SD" dataDxfId="49"/>
    <tableColumn id="7" xr3:uid="{FDCE0D9D-D40B-4C4F-8BF3-B404BE88AAC3}" name="Precision SD" dataDxfId="48"/>
    <tableColumn id="8" xr3:uid="{DBD93915-D5F0-5E4D-9DA8-9CD8E356AE53}" name="Recall SD" dataDxfId="47"/>
    <tableColumn id="9" xr3:uid="{7C36AF29-65E7-8644-B736-F56FCFAA0179}" name="F SD" dataDxfId="46"/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2860F08-B6F9-104B-9FCE-3818751AA1CE}" name="Table2020" displayName="Table2020" ref="Q30:R35" totalsRowShown="0" headerRowDxfId="45" dataDxfId="44">
  <autoFilter ref="Q30:R35" xr:uid="{D81F6144-1429-1947-B6DA-0ACED13B978C}"/>
  <tableColumns count="2">
    <tableColumn id="1" xr3:uid="{5F93275E-8C51-1E46-8670-9D87602D424F}" name="Resample" dataDxfId="43"/>
    <tableColumn id="2" xr3:uid="{8E078207-870D-8F48-823B-0263AFB37611}" name="AUPRC" dataDxfId="42"/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E6ED4AC-7D38-B14B-B923-0891A2B2D112}" name="Table59121519255181642" displayName="Table59121519255181642" ref="M35:O37" totalsRowShown="0" headerRowDxfId="41" dataDxfId="40">
  <autoFilter ref="M35:O37" xr:uid="{BE6ED4AC-7D38-B14B-B923-0891A2B2D112}"/>
  <tableColumns count="3">
    <tableColumn id="1" xr3:uid="{45950A4F-DA18-0A46-960C-13715C0D6F71}" name="RF" dataDxfId="39"/>
    <tableColumn id="2" xr3:uid="{BF0941A6-B650-E74F-827B-7D359CA1F443}" name="Reference Yes" dataDxfId="38"/>
    <tableColumn id="3" xr3:uid="{2531F7AA-25DF-7A45-A9A8-6EDF836E9C90}" name="Reference No" dataDxfId="37"/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F7ABEDE-3295-D04C-A4DC-E72D902B0174}" name="Table141425" displayName="Table141425" ref="M45:Q70" totalsRowShown="0" dataDxfId="36">
  <autoFilter ref="M45:Q70" xr:uid="{AC12D0A2-5182-A241-BA21-EB7B8977C14D}"/>
  <sortState xmlns:xlrd2="http://schemas.microsoft.com/office/spreadsheetml/2017/richdata2" ref="M46:Q70">
    <sortCondition ref="Q45:Q70"/>
  </sortState>
  <tableColumns count="5">
    <tableColumn id="1" xr3:uid="{6BB059E8-1817-7240-8D06-D39C7AF412A5}" name="AUPRC" dataDxfId="35"/>
    <tableColumn id="2" xr3:uid="{22043B6A-CC08-B344-A334-4319614BC94E}" name="Precision" dataDxfId="34"/>
    <tableColumn id="3" xr3:uid="{45E2834C-E8A6-D342-BCF6-27185103776B}" name="Recall" dataDxfId="33"/>
    <tableColumn id="4" xr3:uid="{FD6940BB-A649-D34C-A50C-C840B01B43A4}" name="F" dataDxfId="32"/>
    <tableColumn id="6" xr3:uid="{C434EE9B-A8BF-6C4B-B0E8-361513D0763A}" name="Resample" dataDxfId="31"/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9396163-645E-D04F-9515-AD590E7B84C6}" name="Table591215192551526" displayName="Table591215192551526" ref="M5:O7" totalsRowShown="0" headerRowDxfId="30" dataDxfId="29">
  <autoFilter ref="M5:O7" xr:uid="{2BA94377-E5BC-BF45-8AB5-FDFD5AA38E17}"/>
  <tableColumns count="3">
    <tableColumn id="1" xr3:uid="{27116E33-1928-4A40-8C4D-625D9C397AE4}" name="RF-W4" dataDxfId="28"/>
    <tableColumn id="2" xr3:uid="{7B034425-6618-E14C-8165-38A030A53EF9}" name="Reference Yes" dataDxfId="27"/>
    <tableColumn id="3" xr3:uid="{C7A050AB-9DC8-8149-9265-76EEB05516BE}" name="Reference No" dataDxfId="26"/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FD11F0A-ADEE-7B4F-9278-F15C163F83FE}" name="Table59121519255181627" displayName="Table59121519255181627" ref="M20:O22" totalsRowShown="0" headerRowDxfId="25" dataDxfId="24">
  <autoFilter ref="M20:O22" xr:uid="{A769DAE2-B066-F94F-9A84-5B07B43AD8E5}"/>
  <tableColumns count="3">
    <tableColumn id="1" xr3:uid="{B34B3DD5-33A2-DB41-9215-68BC58FA8BC6}" name="RF-W4" dataDxfId="23"/>
    <tableColumn id="2" xr3:uid="{232A1CF4-B509-6849-9C77-6B06059FE4FE}" name="Reference Yes" dataDxfId="22"/>
    <tableColumn id="3" xr3:uid="{42393790-7B82-2B47-8A32-3DD19D9B9018}" name="Reference No" dataDxfId="21"/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5FC9CB6-E3F8-AC4A-824F-56BDFBACF420}" name="Table181730" displayName="Table181730" ref="B5:K68" totalsRowShown="0" headerRowDxfId="20" dataDxfId="19">
  <autoFilter ref="B5:K68" xr:uid="{A3DBE4AD-1D70-8D48-95F7-7AB79B378868}"/>
  <tableColumns count="10">
    <tableColumn id="1" xr3:uid="{87B31D73-897A-974B-939F-0032447E09BA}" name="mtry" dataDxfId="18"/>
    <tableColumn id="2" xr3:uid="{443B1331-F927-8C44-B2AB-C9137001B323}" name="ntree" dataDxfId="17"/>
    <tableColumn id="3" xr3:uid="{931BBEF8-58F6-5C4E-9709-CBBF0D5E4861}" name="AUPRC2" dataDxfId="16"/>
    <tableColumn id="4" xr3:uid="{957BCD31-F304-314C-AD66-A0E99B9BB881}" name="Precision" dataDxfId="15"/>
    <tableColumn id="5" xr3:uid="{CCB307BB-677B-F94C-8C5E-F32FCE895A73}" name="Recall" dataDxfId="14"/>
    <tableColumn id="10" xr3:uid="{7BD32393-D6D7-A245-AF75-373F30954527}" name="F" dataDxfId="13"/>
    <tableColumn id="6" xr3:uid="{0BF8DB45-1C84-294D-818E-4CB9CC37501D}" name="AUPRC SD" dataDxfId="12"/>
    <tableColumn id="7" xr3:uid="{964B9DC8-17EE-3740-8052-D3AA9DF0C170}" name="Precision SD" dataDxfId="11"/>
    <tableColumn id="8" xr3:uid="{387DB078-1612-5B40-ABF0-1AAAD6FE495C}" name="Recall SD" dataDxfId="10"/>
    <tableColumn id="9" xr3:uid="{AD33526C-30E7-B642-9317-A6EB17C01280}" name="F SD" dataDxfId="9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BD56770-0DB3-624D-B4D9-C0AF4DA4390D}" name="Table202031" displayName="Table202031" ref="Q30:R35" totalsRowShown="0" headerRowDxfId="8" dataDxfId="7">
  <autoFilter ref="Q30:R35" xr:uid="{D81F6144-1429-1947-B6DA-0ACED13B978C}"/>
  <tableColumns count="2">
    <tableColumn id="1" xr3:uid="{F8DBCD45-FD4D-914C-8D11-244103EA8BAE}" name="Resample" dataDxfId="6"/>
    <tableColumn id="2" xr3:uid="{0694279D-A88D-6D4A-90C9-971A48760040}" name="AUPRC" dataDxfId="5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47527B6-EDFA-774E-8852-6E7C2A16536E}" name="Table5912151925518162744" displayName="Table5912151925518162744" ref="M35:O37" totalsRowShown="0" headerRowDxfId="4" dataDxfId="3">
  <autoFilter ref="M35:O37" xr:uid="{447527B6-EDFA-774E-8852-6E7C2A16536E}"/>
  <tableColumns count="3">
    <tableColumn id="1" xr3:uid="{3DE0EB40-1CB4-0E4C-A255-9FAEDADD9881}" name="RF-W4" dataDxfId="2"/>
    <tableColumn id="2" xr3:uid="{FB21AD2A-D358-704C-B456-AF541BA70475}" name="Reference Yes" dataDxfId="1"/>
    <tableColumn id="3" xr3:uid="{34439733-25DA-3B4B-8C30-825047A4BA67}" name="Reference 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5F3E-8229-8D41-A038-DD5EE3ACAE06}">
  <dimension ref="B3:C11"/>
  <sheetViews>
    <sheetView tabSelected="1" zoomScale="150" zoomScaleNormal="100" workbookViewId="0">
      <selection activeCell="B23" sqref="B23"/>
    </sheetView>
  </sheetViews>
  <sheetFormatPr baseColWidth="10" defaultColWidth="11" defaultRowHeight="16" x14ac:dyDescent="0.2"/>
  <cols>
    <col min="2" max="2" width="30.83203125" bestFit="1" customWidth="1"/>
    <col min="3" max="3" width="67.1640625" bestFit="1" customWidth="1"/>
  </cols>
  <sheetData>
    <row r="3" spans="2:3" x14ac:dyDescent="0.2">
      <c r="B3" s="1" t="s">
        <v>71</v>
      </c>
      <c r="C3" s="1" t="s">
        <v>23</v>
      </c>
    </row>
    <row r="4" spans="2:3" x14ac:dyDescent="0.2">
      <c r="B4" s="7" t="s">
        <v>116</v>
      </c>
      <c r="C4" s="7" t="s">
        <v>24</v>
      </c>
    </row>
    <row r="5" spans="2:3" x14ac:dyDescent="0.2">
      <c r="B5" s="7" t="s">
        <v>21</v>
      </c>
      <c r="C5" s="7" t="s">
        <v>121</v>
      </c>
    </row>
    <row r="6" spans="2:3" x14ac:dyDescent="0.2">
      <c r="B6" s="7" t="s">
        <v>117</v>
      </c>
      <c r="C6" s="7" t="s">
        <v>25</v>
      </c>
    </row>
    <row r="7" spans="2:3" x14ac:dyDescent="0.2">
      <c r="B7" s="7" t="s">
        <v>119</v>
      </c>
      <c r="C7" s="7" t="s">
        <v>26</v>
      </c>
    </row>
    <row r="8" spans="2:3" x14ac:dyDescent="0.2">
      <c r="B8" s="7" t="s">
        <v>18</v>
      </c>
      <c r="C8" s="7" t="s">
        <v>27</v>
      </c>
    </row>
    <row r="9" spans="2:3" x14ac:dyDescent="0.2">
      <c r="B9" s="7" t="s">
        <v>120</v>
      </c>
      <c r="C9" s="7" t="s">
        <v>115</v>
      </c>
    </row>
    <row r="10" spans="2:3" x14ac:dyDescent="0.2">
      <c r="B10" s="7" t="s">
        <v>28</v>
      </c>
      <c r="C10" s="7" t="s">
        <v>118</v>
      </c>
    </row>
    <row r="11" spans="2:3" x14ac:dyDescent="0.2">
      <c r="B11" s="7" t="s">
        <v>33</v>
      </c>
      <c r="C11" s="2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943D-4A96-4D32-8B42-1E4A8AED18F7}">
  <sheetPr>
    <tabColor theme="4" tint="0.79998168889431442"/>
  </sheetPr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F40F-4B30-494D-9497-8428D775A9BE}">
  <dimension ref="A2:S71"/>
  <sheetViews>
    <sheetView topLeftCell="D1" workbookViewId="0">
      <selection activeCell="J23" sqref="J5:J23"/>
    </sheetView>
  </sheetViews>
  <sheetFormatPr baseColWidth="10" defaultColWidth="11" defaultRowHeight="16" x14ac:dyDescent="0.2"/>
  <cols>
    <col min="2" max="2" width="28" bestFit="1" customWidth="1"/>
    <col min="3" max="3" width="19.33203125" bestFit="1" customWidth="1"/>
    <col min="4" max="4" width="41.5" bestFit="1" customWidth="1"/>
    <col min="5" max="6" width="27.33203125" bestFit="1" customWidth="1"/>
    <col min="7" max="7" width="12.83203125" bestFit="1" customWidth="1"/>
    <col min="8" max="9" width="14.5" bestFit="1" customWidth="1"/>
    <col min="10" max="10" width="28.33203125" bestFit="1" customWidth="1"/>
    <col min="11" max="11" width="22.5" bestFit="1" customWidth="1"/>
    <col min="15" max="15" width="18.33203125" customWidth="1"/>
    <col min="18" max="18" width="24" bestFit="1" customWidth="1"/>
  </cols>
  <sheetData>
    <row r="2" spans="1:19" x14ac:dyDescent="0.2">
      <c r="A2" s="25"/>
      <c r="B2" s="50" t="s">
        <v>171</v>
      </c>
      <c r="C2" s="51"/>
      <c r="D2" s="51"/>
      <c r="E2" s="51"/>
      <c r="F2" s="51"/>
      <c r="G2" s="51"/>
      <c r="H2" s="51"/>
      <c r="I2" s="51"/>
      <c r="J2" s="51"/>
      <c r="K2" s="51"/>
    </row>
    <row r="4" spans="1:19" x14ac:dyDescent="0.2">
      <c r="B4" s="49" t="s">
        <v>36</v>
      </c>
      <c r="C4" s="49"/>
      <c r="D4" s="49"/>
      <c r="E4" s="6"/>
      <c r="F4" s="6"/>
      <c r="G4" s="23" t="s">
        <v>30</v>
      </c>
      <c r="H4" s="23" t="s">
        <v>34</v>
      </c>
      <c r="I4" s="38" t="s">
        <v>173</v>
      </c>
      <c r="J4" s="13" t="s">
        <v>174</v>
      </c>
      <c r="K4" s="46" t="s">
        <v>175</v>
      </c>
    </row>
    <row r="5" spans="1:19" x14ac:dyDescent="0.2">
      <c r="B5" s="9" t="s">
        <v>172</v>
      </c>
      <c r="C5" s="9" t="s">
        <v>10</v>
      </c>
      <c r="D5" s="9" t="s">
        <v>11</v>
      </c>
      <c r="E5" s="5"/>
      <c r="F5" s="5"/>
      <c r="G5" s="40" t="s">
        <v>29</v>
      </c>
      <c r="H5" s="2"/>
      <c r="I5" s="8">
        <v>7.5536450000000004</v>
      </c>
      <c r="J5" s="58">
        <v>9.3787490200000004E-2</v>
      </c>
      <c r="K5" s="8">
        <v>-6.7798419999999998E-2</v>
      </c>
    </row>
    <row r="6" spans="1:19" x14ac:dyDescent="0.2">
      <c r="B6" s="9" t="s">
        <v>8</v>
      </c>
      <c r="C6" s="10">
        <v>15</v>
      </c>
      <c r="D6" s="10">
        <v>2</v>
      </c>
      <c r="E6" s="5"/>
      <c r="F6" s="5"/>
      <c r="G6" s="40" t="s">
        <v>78</v>
      </c>
      <c r="H6" s="2"/>
      <c r="I6" s="8">
        <v>17.583289000000001</v>
      </c>
      <c r="J6" s="58">
        <v>3.4369570500000002E-2</v>
      </c>
      <c r="K6" s="8">
        <v>-0.13625722000000001</v>
      </c>
      <c r="N6" s="8"/>
      <c r="O6" s="8"/>
      <c r="R6" s="2"/>
      <c r="S6" s="8"/>
    </row>
    <row r="7" spans="1:19" x14ac:dyDescent="0.2">
      <c r="B7" s="9" t="s">
        <v>9</v>
      </c>
      <c r="C7" s="10">
        <v>21</v>
      </c>
      <c r="D7" s="10">
        <v>147</v>
      </c>
      <c r="E7" s="6"/>
      <c r="F7" s="6"/>
      <c r="G7" s="40" t="s">
        <v>79</v>
      </c>
      <c r="H7" s="2"/>
      <c r="I7" s="8">
        <v>9.039377</v>
      </c>
      <c r="J7" s="58">
        <v>1.3615585999999999E-3</v>
      </c>
      <c r="K7" s="8">
        <v>-7.7939499999999995E-2</v>
      </c>
      <c r="N7" s="8"/>
      <c r="O7" s="8"/>
      <c r="R7" s="2"/>
      <c r="S7" s="8"/>
    </row>
    <row r="8" spans="1:19" x14ac:dyDescent="0.2">
      <c r="B8" s="5"/>
      <c r="C8" s="5"/>
      <c r="D8" s="5"/>
      <c r="E8" s="5"/>
      <c r="F8" s="5"/>
      <c r="G8" s="40" t="s">
        <v>80</v>
      </c>
      <c r="H8" s="2"/>
      <c r="I8" s="8">
        <v>8.0980880000000006</v>
      </c>
      <c r="J8" s="58">
        <v>7.3891866E-3</v>
      </c>
      <c r="K8" s="8">
        <v>-7.1514590000000003E-2</v>
      </c>
      <c r="N8" s="8"/>
      <c r="O8" s="8"/>
      <c r="R8" s="2"/>
      <c r="S8" s="8"/>
    </row>
    <row r="9" spans="1:19" x14ac:dyDescent="0.2">
      <c r="B9" s="51" t="s">
        <v>70</v>
      </c>
      <c r="C9" s="51"/>
      <c r="D9" s="5" t="s">
        <v>37</v>
      </c>
      <c r="E9" s="5"/>
      <c r="F9" s="5"/>
      <c r="G9" s="40" t="s">
        <v>81</v>
      </c>
      <c r="H9" s="2"/>
      <c r="I9" s="8">
        <v>17.362313</v>
      </c>
      <c r="J9" s="58">
        <v>4.2571729999999998E-4</v>
      </c>
      <c r="K9" s="8">
        <v>-0.13474891999999999</v>
      </c>
      <c r="N9" s="8"/>
      <c r="O9" s="8"/>
      <c r="R9" s="2"/>
      <c r="S9" s="8"/>
    </row>
    <row r="10" spans="1:19" x14ac:dyDescent="0.2">
      <c r="B10" s="5" t="s">
        <v>22</v>
      </c>
      <c r="C10" s="5">
        <v>0.41666999999999998</v>
      </c>
      <c r="D10" s="5"/>
      <c r="E10" s="5"/>
      <c r="F10" s="5"/>
      <c r="G10" s="40" t="s">
        <v>82</v>
      </c>
      <c r="H10" s="2"/>
      <c r="I10" s="8">
        <v>13.144323</v>
      </c>
      <c r="J10" s="58">
        <v>2.5862420999999999E-3</v>
      </c>
      <c r="K10" s="8">
        <v>-0.10595841</v>
      </c>
      <c r="N10" s="8"/>
      <c r="O10" s="8"/>
      <c r="R10" s="2"/>
      <c r="S10" s="8"/>
    </row>
    <row r="11" spans="1:19" x14ac:dyDescent="0.2">
      <c r="B11" s="5" t="s">
        <v>21</v>
      </c>
      <c r="C11" s="5">
        <v>0.98658000000000001</v>
      </c>
      <c r="D11" s="5"/>
      <c r="E11" s="5"/>
      <c r="F11" s="5"/>
      <c r="G11" s="40" t="s">
        <v>83</v>
      </c>
      <c r="H11" s="2"/>
      <c r="I11" s="8">
        <v>5.9449779999999999</v>
      </c>
      <c r="J11" s="58">
        <v>-3.1936171999999998E-3</v>
      </c>
      <c r="K11" s="8">
        <v>5.6818229999999997E-2</v>
      </c>
      <c r="N11" s="8"/>
      <c r="O11" s="8"/>
      <c r="R11" s="2"/>
      <c r="S11" s="8"/>
    </row>
    <row r="12" spans="1:19" x14ac:dyDescent="0.2">
      <c r="B12" s="5" t="s">
        <v>20</v>
      </c>
      <c r="C12" s="5">
        <v>0.88234999999999997</v>
      </c>
      <c r="D12" s="5"/>
      <c r="E12" s="5"/>
      <c r="F12" s="5"/>
      <c r="G12" s="40" t="s">
        <v>84</v>
      </c>
      <c r="H12" s="2"/>
      <c r="I12" s="8">
        <v>21.331087</v>
      </c>
      <c r="J12" s="58">
        <v>6.1626487200000003E-2</v>
      </c>
      <c r="K12" s="8">
        <v>0.16183837000000001</v>
      </c>
      <c r="N12" s="8"/>
      <c r="O12" s="8"/>
      <c r="R12" s="2"/>
      <c r="S12" s="8"/>
    </row>
    <row r="13" spans="1:19" x14ac:dyDescent="0.2">
      <c r="B13" s="5" t="s">
        <v>19</v>
      </c>
      <c r="C13" s="5">
        <v>0.875</v>
      </c>
      <c r="D13" s="5"/>
      <c r="E13" s="5"/>
      <c r="F13" s="5"/>
      <c r="G13" s="40" t="s">
        <v>85</v>
      </c>
      <c r="H13" s="2"/>
      <c r="I13" s="8">
        <v>15.72444</v>
      </c>
      <c r="J13" s="58">
        <v>2.5921113400000001E-2</v>
      </c>
      <c r="K13" s="8">
        <v>-0.12356938000000001</v>
      </c>
      <c r="N13" s="8"/>
      <c r="O13" s="8"/>
      <c r="R13" s="2"/>
      <c r="S13" s="8"/>
    </row>
    <row r="14" spans="1:19" x14ac:dyDescent="0.2">
      <c r="B14" s="5" t="s">
        <v>18</v>
      </c>
      <c r="C14" s="5">
        <v>0.87570000000000003</v>
      </c>
      <c r="D14" s="5"/>
      <c r="E14" s="5"/>
      <c r="F14" s="5"/>
      <c r="G14" s="40" t="s">
        <v>86</v>
      </c>
      <c r="H14" s="2"/>
      <c r="I14" s="8">
        <v>4.3249449999999996</v>
      </c>
      <c r="J14" s="58">
        <v>9.6343917999999994E-3</v>
      </c>
      <c r="K14" s="8">
        <v>-4.5760450000000001E-2</v>
      </c>
      <c r="N14" s="8"/>
      <c r="O14" s="8"/>
      <c r="R14" s="2"/>
      <c r="S14" s="8"/>
    </row>
    <row r="15" spans="1:19" x14ac:dyDescent="0.2">
      <c r="B15" s="5" t="s">
        <v>17</v>
      </c>
      <c r="C15" s="5">
        <v>0.56599999999999995</v>
      </c>
      <c r="D15" s="5"/>
      <c r="E15" s="5"/>
      <c r="F15" s="5"/>
      <c r="G15" s="40" t="s">
        <v>87</v>
      </c>
      <c r="H15" s="2"/>
      <c r="I15" s="8">
        <v>0</v>
      </c>
      <c r="J15" s="58">
        <v>2.7582192999999998E-3</v>
      </c>
      <c r="K15" s="8">
        <v>1.623991E-2</v>
      </c>
      <c r="N15" s="8"/>
      <c r="O15" s="8"/>
      <c r="R15" s="2"/>
      <c r="S15" s="8"/>
    </row>
    <row r="16" spans="1:19" x14ac:dyDescent="0.2">
      <c r="B16" s="5" t="s">
        <v>28</v>
      </c>
      <c r="C16" s="5">
        <v>0.55259999999999998</v>
      </c>
      <c r="D16" s="5"/>
      <c r="E16" s="5"/>
      <c r="F16" s="5"/>
      <c r="G16" s="40" t="s">
        <v>88</v>
      </c>
      <c r="H16" s="2"/>
      <c r="I16" s="8">
        <v>12.280367999999999</v>
      </c>
      <c r="J16" s="58">
        <v>2.7478762800000001E-2</v>
      </c>
      <c r="K16" s="8">
        <v>0.10006136</v>
      </c>
      <c r="N16" s="8"/>
      <c r="O16" s="8"/>
      <c r="R16" s="2"/>
      <c r="S16" s="8"/>
    </row>
    <row r="17" spans="2:19" x14ac:dyDescent="0.2">
      <c r="B17" s="5" t="s">
        <v>33</v>
      </c>
      <c r="C17" s="5">
        <v>0.70162000000000002</v>
      </c>
      <c r="D17" s="5"/>
      <c r="E17" s="5"/>
      <c r="F17" s="5"/>
      <c r="G17" s="40" t="s">
        <v>122</v>
      </c>
      <c r="H17" s="5"/>
      <c r="I17" s="28"/>
      <c r="J17" s="58">
        <v>2.7680261899999999E-2</v>
      </c>
      <c r="K17" s="29"/>
      <c r="N17" s="8"/>
      <c r="O17" s="8"/>
      <c r="R17" s="2"/>
      <c r="S17" s="8"/>
    </row>
    <row r="18" spans="2:19" x14ac:dyDescent="0.2">
      <c r="B18" s="5"/>
      <c r="C18" s="5"/>
      <c r="D18" s="5"/>
      <c r="E18" s="5"/>
      <c r="F18" s="5"/>
      <c r="G18" s="40" t="s">
        <v>89</v>
      </c>
      <c r="H18" s="5"/>
      <c r="I18" s="8">
        <v>54.153430999999998</v>
      </c>
      <c r="J18" s="60"/>
      <c r="K18" s="8">
        <v>-0.38587208000000001</v>
      </c>
      <c r="N18" s="8"/>
      <c r="O18" s="8"/>
      <c r="R18" s="2"/>
      <c r="S18" s="8"/>
    </row>
    <row r="19" spans="2:19" x14ac:dyDescent="0.2">
      <c r="B19" s="49" t="s">
        <v>35</v>
      </c>
      <c r="C19" s="49"/>
      <c r="D19" s="49"/>
      <c r="E19" s="5"/>
      <c r="F19" s="5"/>
      <c r="G19" s="39" t="s">
        <v>123</v>
      </c>
      <c r="H19" s="5"/>
      <c r="I19" s="28"/>
      <c r="J19" s="58">
        <v>8.3882397100000006E-2</v>
      </c>
      <c r="K19" s="8"/>
      <c r="N19" s="8"/>
      <c r="O19" s="8"/>
      <c r="R19" s="2"/>
      <c r="S19" s="8"/>
    </row>
    <row r="20" spans="2:19" x14ac:dyDescent="0.2">
      <c r="B20" s="9" t="s">
        <v>172</v>
      </c>
      <c r="C20" s="9" t="s">
        <v>10</v>
      </c>
      <c r="D20" s="9" t="s">
        <v>11</v>
      </c>
      <c r="E20" s="5"/>
      <c r="F20" s="5"/>
      <c r="G20" s="40" t="s">
        <v>90</v>
      </c>
      <c r="H20" s="5"/>
      <c r="I20" s="8">
        <v>20.555596999999999</v>
      </c>
      <c r="J20" s="60"/>
      <c r="K20" s="8">
        <v>-0.15654514999999999</v>
      </c>
      <c r="N20" s="8"/>
      <c r="O20" s="8"/>
      <c r="R20" s="2"/>
      <c r="S20" s="8"/>
    </row>
    <row r="21" spans="2:19" x14ac:dyDescent="0.2">
      <c r="B21" s="9" t="s">
        <v>8</v>
      </c>
      <c r="C21" s="10">
        <v>1</v>
      </c>
      <c r="D21" s="10">
        <v>0</v>
      </c>
      <c r="E21" s="5"/>
      <c r="F21" s="5"/>
      <c r="G21" s="40" t="s">
        <v>91</v>
      </c>
      <c r="H21" s="5"/>
      <c r="I21" s="8">
        <v>100</v>
      </c>
      <c r="J21" s="60"/>
      <c r="K21" s="8">
        <v>0.69880456000000002</v>
      </c>
      <c r="N21" s="8"/>
      <c r="O21" s="8"/>
      <c r="R21" s="2"/>
      <c r="S21" s="8"/>
    </row>
    <row r="22" spans="2:19" x14ac:dyDescent="0.2">
      <c r="B22" s="9" t="s">
        <v>9</v>
      </c>
      <c r="C22" s="10">
        <v>8</v>
      </c>
      <c r="D22" s="10">
        <v>37</v>
      </c>
      <c r="E22" s="5"/>
      <c r="F22" s="5"/>
      <c r="G22" s="40" t="s">
        <v>92</v>
      </c>
      <c r="H22" s="5"/>
      <c r="I22" s="8">
        <v>68.853576000000004</v>
      </c>
      <c r="J22" s="60"/>
      <c r="K22" s="8">
        <v>0.48621007999999999</v>
      </c>
      <c r="N22" s="8"/>
      <c r="O22" s="8"/>
      <c r="R22" s="2"/>
      <c r="S22" s="8"/>
    </row>
    <row r="23" spans="2:19" x14ac:dyDescent="0.2">
      <c r="B23" s="5"/>
      <c r="C23" s="5"/>
      <c r="D23" s="5"/>
      <c r="E23" s="5"/>
      <c r="F23" s="5"/>
      <c r="G23" s="40" t="s">
        <v>93</v>
      </c>
      <c r="H23" s="5"/>
      <c r="I23" s="8">
        <v>17.821058000000001</v>
      </c>
      <c r="J23" s="60"/>
      <c r="K23" s="8">
        <v>0.13788015000000001</v>
      </c>
      <c r="N23" s="8"/>
      <c r="O23" s="8"/>
      <c r="R23" s="2"/>
      <c r="S23" s="8"/>
    </row>
    <row r="24" spans="2:19" x14ac:dyDescent="0.2">
      <c r="B24" s="51" t="s">
        <v>69</v>
      </c>
      <c r="C24" s="51"/>
      <c r="D24" s="5"/>
      <c r="E24" s="5"/>
      <c r="F24" s="5"/>
      <c r="G24" s="39" t="s">
        <v>124</v>
      </c>
      <c r="H24" s="5"/>
      <c r="I24" s="28"/>
      <c r="J24" s="8">
        <v>4.9307131300000001E-2</v>
      </c>
      <c r="K24" s="19"/>
      <c r="N24" s="8"/>
      <c r="O24" s="8"/>
      <c r="R24" s="2"/>
      <c r="S24" s="8"/>
    </row>
    <row r="25" spans="2:19" x14ac:dyDescent="0.2">
      <c r="B25" s="5" t="s">
        <v>22</v>
      </c>
      <c r="C25" s="5">
        <v>0.1111</v>
      </c>
      <c r="D25" s="5"/>
      <c r="E25" s="5"/>
      <c r="F25" s="5"/>
      <c r="G25" s="40" t="s">
        <v>94</v>
      </c>
      <c r="H25" s="5"/>
      <c r="I25" s="8">
        <v>25.640343000000001</v>
      </c>
      <c r="J25" s="28"/>
      <c r="K25" s="8">
        <v>-0.19125183000000001</v>
      </c>
      <c r="N25" s="8"/>
      <c r="O25" s="8"/>
      <c r="P25" s="8"/>
      <c r="R25" s="2"/>
      <c r="S25" s="8"/>
    </row>
    <row r="26" spans="2:19" x14ac:dyDescent="0.2">
      <c r="B26" s="5" t="s">
        <v>21</v>
      </c>
      <c r="C26" s="5">
        <v>1</v>
      </c>
      <c r="D26" s="5"/>
      <c r="E26" s="5"/>
      <c r="F26" s="5"/>
      <c r="G26" s="40" t="s">
        <v>95</v>
      </c>
      <c r="H26" s="19"/>
      <c r="I26" s="8">
        <v>4.9412320000000003</v>
      </c>
      <c r="J26" s="19"/>
      <c r="K26" s="8">
        <v>4.9967009999999999E-2</v>
      </c>
      <c r="N26" s="8"/>
      <c r="O26" s="8"/>
      <c r="P26" s="8"/>
      <c r="R26" s="2"/>
      <c r="S26" s="8"/>
    </row>
    <row r="27" spans="2:19" x14ac:dyDescent="0.2">
      <c r="B27" s="5" t="s">
        <v>20</v>
      </c>
      <c r="C27" s="5">
        <v>1</v>
      </c>
      <c r="D27" s="5"/>
      <c r="E27" s="5"/>
      <c r="F27" s="5"/>
      <c r="G27" s="40" t="s">
        <v>96</v>
      </c>
      <c r="H27" s="19"/>
      <c r="I27" s="8">
        <v>76.282669999999996</v>
      </c>
      <c r="J27" s="19"/>
      <c r="K27" s="8">
        <v>-0.53691845000000005</v>
      </c>
      <c r="N27" s="8"/>
      <c r="O27" s="8"/>
      <c r="R27" s="2"/>
      <c r="S27" s="8"/>
    </row>
    <row r="28" spans="2:19" x14ac:dyDescent="0.2">
      <c r="B28" s="5" t="s">
        <v>19</v>
      </c>
      <c r="C28" s="5">
        <v>0.82220000000000004</v>
      </c>
      <c r="D28" s="5"/>
      <c r="E28" s="5"/>
      <c r="F28" s="5"/>
      <c r="G28" s="40" t="s">
        <v>97</v>
      </c>
      <c r="H28" s="19"/>
      <c r="I28" s="8">
        <v>32.953964999999997</v>
      </c>
      <c r="J28" s="19"/>
      <c r="K28" s="8">
        <v>0.24117201999999999</v>
      </c>
      <c r="N28" s="8"/>
      <c r="R28" s="2"/>
      <c r="S28" s="8"/>
    </row>
    <row r="29" spans="2:19" x14ac:dyDescent="0.2">
      <c r="B29" s="5" t="s">
        <v>18</v>
      </c>
      <c r="C29" s="5">
        <v>0.82609999999999995</v>
      </c>
      <c r="D29" s="5"/>
      <c r="E29" s="5"/>
      <c r="F29" s="5"/>
      <c r="G29" s="40" t="s">
        <v>98</v>
      </c>
      <c r="I29" s="8">
        <v>28.817157999999999</v>
      </c>
      <c r="J29" s="19"/>
      <c r="K29" s="8">
        <v>0.21293564000000001</v>
      </c>
      <c r="R29" s="2"/>
      <c r="S29" s="8"/>
    </row>
    <row r="30" spans="2:19" x14ac:dyDescent="0.2">
      <c r="B30" s="5" t="s">
        <v>17</v>
      </c>
      <c r="C30" s="5">
        <v>0.2</v>
      </c>
      <c r="D30" s="5"/>
      <c r="E30" s="5"/>
      <c r="F30" s="5"/>
      <c r="G30" s="39" t="s">
        <v>129</v>
      </c>
      <c r="I30" s="19"/>
      <c r="J30" s="8">
        <v>2.2339447799999999E-2</v>
      </c>
      <c r="K30" s="19"/>
      <c r="R30" s="2"/>
      <c r="S30" s="8"/>
    </row>
    <row r="31" spans="2:19" x14ac:dyDescent="0.2">
      <c r="B31" s="5" t="s">
        <v>28</v>
      </c>
      <c r="C31" s="5">
        <v>0.30225000000000002</v>
      </c>
      <c r="D31" s="5"/>
      <c r="E31" s="5"/>
      <c r="F31" s="5"/>
      <c r="G31" s="40" t="s">
        <v>99</v>
      </c>
      <c r="I31" s="8">
        <v>69.580883999999998</v>
      </c>
      <c r="J31" s="19"/>
      <c r="K31" s="8">
        <v>-0.49117443</v>
      </c>
      <c r="R31" s="2"/>
      <c r="S31" s="8"/>
    </row>
    <row r="32" spans="2:19" x14ac:dyDescent="0.2">
      <c r="B32" s="5" t="s">
        <v>33</v>
      </c>
      <c r="C32" s="5">
        <v>0.55559999999999998</v>
      </c>
      <c r="D32" s="5"/>
      <c r="E32" s="5"/>
      <c r="F32" s="5"/>
      <c r="G32" s="39" t="s">
        <v>128</v>
      </c>
      <c r="I32" s="19"/>
      <c r="J32" s="8">
        <v>5.2151387E-3</v>
      </c>
      <c r="K32" s="19"/>
      <c r="R32" s="2"/>
      <c r="S32" s="8"/>
    </row>
    <row r="33" spans="2:19" x14ac:dyDescent="0.2">
      <c r="E33" s="5"/>
      <c r="F33" s="5"/>
      <c r="G33" s="40" t="s">
        <v>100</v>
      </c>
      <c r="I33" s="8">
        <v>10.059003000000001</v>
      </c>
      <c r="K33" s="8">
        <v>-8.4899100000000005E-2</v>
      </c>
      <c r="R33" s="2"/>
      <c r="S33" s="8"/>
    </row>
    <row r="34" spans="2:19" x14ac:dyDescent="0.2">
      <c r="B34" s="52" t="s">
        <v>111</v>
      </c>
      <c r="C34" s="52"/>
      <c r="E34" s="5"/>
      <c r="F34" s="5"/>
      <c r="G34" s="39" t="s">
        <v>127</v>
      </c>
      <c r="I34" s="2"/>
      <c r="J34" s="8">
        <v>3.5746494599999998E-2</v>
      </c>
      <c r="R34" s="2"/>
      <c r="S34" s="8"/>
    </row>
    <row r="35" spans="2:19" x14ac:dyDescent="0.2">
      <c r="B35" s="5" t="s">
        <v>38</v>
      </c>
      <c r="C35" s="5" t="s">
        <v>112</v>
      </c>
      <c r="E35" s="12" t="s">
        <v>13</v>
      </c>
      <c r="F35" s="6"/>
      <c r="G35" s="40" t="s">
        <v>101</v>
      </c>
      <c r="I35" s="8">
        <v>24.921199999999999</v>
      </c>
      <c r="K35" s="8">
        <v>0.18634321000000001</v>
      </c>
      <c r="R35" s="2"/>
      <c r="S35" s="8"/>
    </row>
    <row r="36" spans="2:19" x14ac:dyDescent="0.2">
      <c r="B36" s="37" t="s">
        <v>73</v>
      </c>
      <c r="C36" s="37">
        <v>0.57061879999999998</v>
      </c>
      <c r="E36" s="4" t="s">
        <v>169</v>
      </c>
      <c r="F36" s="4"/>
      <c r="G36" s="40" t="s">
        <v>102</v>
      </c>
      <c r="H36" s="2"/>
      <c r="I36" s="8">
        <v>18.27807</v>
      </c>
      <c r="K36" s="8">
        <v>0.14099955</v>
      </c>
      <c r="R36" s="2"/>
      <c r="S36" s="8"/>
    </row>
    <row r="37" spans="2:19" x14ac:dyDescent="0.2">
      <c r="B37" s="37" t="s">
        <v>74</v>
      </c>
      <c r="C37" s="37">
        <v>0.51966239999999997</v>
      </c>
      <c r="E37" s="5" t="s">
        <v>170</v>
      </c>
      <c r="F37" s="5"/>
      <c r="G37" s="40" t="s">
        <v>103</v>
      </c>
      <c r="H37" s="2"/>
      <c r="I37" s="8">
        <v>42.200854999999997</v>
      </c>
      <c r="K37" s="8">
        <v>-0.30428802999999999</v>
      </c>
    </row>
    <row r="38" spans="2:19" x14ac:dyDescent="0.2">
      <c r="B38" s="37" t="s">
        <v>75</v>
      </c>
      <c r="C38" s="37">
        <v>0.60511780000000004</v>
      </c>
      <c r="E38" s="18"/>
      <c r="F38" s="18"/>
      <c r="G38" s="39" t="s">
        <v>126</v>
      </c>
      <c r="H38" s="2"/>
      <c r="I38" s="8"/>
      <c r="J38" s="8">
        <v>3.5478634799999999E-2</v>
      </c>
      <c r="K38" s="8"/>
    </row>
    <row r="39" spans="2:19" x14ac:dyDescent="0.2">
      <c r="B39" s="37" t="s">
        <v>76</v>
      </c>
      <c r="C39" s="37">
        <v>0.5951438</v>
      </c>
      <c r="E39" s="36" t="s">
        <v>168</v>
      </c>
      <c r="F39" s="36"/>
      <c r="G39" s="40" t="s">
        <v>104</v>
      </c>
      <c r="H39" s="2"/>
      <c r="I39" s="8">
        <v>49.439605999999998</v>
      </c>
      <c r="J39" s="8"/>
      <c r="K39" s="8">
        <v>-0.35369718999999999</v>
      </c>
    </row>
    <row r="40" spans="2:19" x14ac:dyDescent="0.2">
      <c r="B40" s="37" t="s">
        <v>77</v>
      </c>
      <c r="C40" s="37">
        <v>0.62861409999999995</v>
      </c>
      <c r="G40" s="39" t="s">
        <v>125</v>
      </c>
      <c r="H40" s="2"/>
      <c r="I40" s="8"/>
      <c r="J40" s="8">
        <v>6.6363940000000003E-3</v>
      </c>
      <c r="K40" s="8"/>
      <c r="M40" s="2"/>
    </row>
    <row r="41" spans="2:19" x14ac:dyDescent="0.2">
      <c r="G41" s="40" t="s">
        <v>105</v>
      </c>
      <c r="H41" s="2"/>
      <c r="I41" s="8">
        <v>44.699823000000002</v>
      </c>
      <c r="J41" s="8"/>
      <c r="K41" s="8">
        <v>0.32134509999999999</v>
      </c>
      <c r="M41" s="2"/>
    </row>
    <row r="42" spans="2:19" x14ac:dyDescent="0.2">
      <c r="G42" s="40" t="s">
        <v>106</v>
      </c>
      <c r="H42" s="8"/>
      <c r="I42" s="8">
        <v>24.995660999999998</v>
      </c>
      <c r="K42" s="8">
        <v>-0.18685145</v>
      </c>
      <c r="L42" s="2"/>
    </row>
    <row r="43" spans="2:19" x14ac:dyDescent="0.2">
      <c r="G43" s="40" t="s">
        <v>107</v>
      </c>
      <c r="H43" s="8"/>
      <c r="I43" s="8">
        <v>49.023485999999998</v>
      </c>
      <c r="K43" s="8">
        <v>-0.35085688999999998</v>
      </c>
      <c r="L43" s="2"/>
    </row>
    <row r="44" spans="2:19" x14ac:dyDescent="0.2">
      <c r="G44" s="6"/>
      <c r="L44" s="2"/>
    </row>
    <row r="45" spans="2:19" x14ac:dyDescent="0.2">
      <c r="B45" s="49" t="s">
        <v>108</v>
      </c>
      <c r="C45" s="49"/>
      <c r="D45" s="49"/>
      <c r="E45" s="49"/>
      <c r="F45" s="49"/>
      <c r="G45" s="5"/>
      <c r="K45" s="18" t="s">
        <v>195</v>
      </c>
      <c r="L45" s="2"/>
    </row>
    <row r="46" spans="2:19" x14ac:dyDescent="0.2">
      <c r="B46" s="5" t="s">
        <v>112</v>
      </c>
      <c r="C46" s="5" t="s">
        <v>5</v>
      </c>
      <c r="D46" s="5" t="s">
        <v>6</v>
      </c>
      <c r="E46" s="5" t="s">
        <v>7</v>
      </c>
      <c r="F46" s="5" t="s">
        <v>38</v>
      </c>
      <c r="G46" s="11"/>
      <c r="K46" s="18" t="s">
        <v>194</v>
      </c>
      <c r="L46" s="2"/>
    </row>
    <row r="47" spans="2:19" x14ac:dyDescent="0.2">
      <c r="B47" s="16">
        <v>0.56459499999999996</v>
      </c>
      <c r="C47" s="16">
        <v>0.4166667</v>
      </c>
      <c r="D47" s="16">
        <v>0.71428570000000002</v>
      </c>
      <c r="E47" s="16">
        <v>0.5263158</v>
      </c>
      <c r="F47" s="16" t="s">
        <v>44</v>
      </c>
      <c r="G47" s="11"/>
      <c r="L47" s="2"/>
    </row>
    <row r="48" spans="2:19" x14ac:dyDescent="0.2">
      <c r="B48" s="16">
        <v>0.53290130000000002</v>
      </c>
      <c r="C48" s="16">
        <v>0.45454549999999999</v>
      </c>
      <c r="D48" s="16">
        <v>0.71428570000000002</v>
      </c>
      <c r="E48" s="16">
        <v>0.55555560000000004</v>
      </c>
      <c r="F48" s="16" t="s">
        <v>63</v>
      </c>
      <c r="G48" s="11"/>
      <c r="L48" s="2"/>
    </row>
    <row r="49" spans="2:12" x14ac:dyDescent="0.2">
      <c r="B49" s="16">
        <v>0.22744600000000001</v>
      </c>
      <c r="C49" s="16">
        <v>0.3</v>
      </c>
      <c r="D49" s="16">
        <v>0.42857139999999999</v>
      </c>
      <c r="E49" s="16">
        <v>0.35294120000000001</v>
      </c>
      <c r="F49" s="16" t="s">
        <v>60</v>
      </c>
      <c r="G49" s="11"/>
      <c r="L49" s="2"/>
    </row>
    <row r="50" spans="2:12" x14ac:dyDescent="0.2">
      <c r="B50" s="16">
        <v>0.60133440000000005</v>
      </c>
      <c r="C50" s="16">
        <v>0.75</v>
      </c>
      <c r="D50" s="16">
        <v>0.85714290000000004</v>
      </c>
      <c r="E50" s="16">
        <v>0.8</v>
      </c>
      <c r="F50" s="16" t="s">
        <v>57</v>
      </c>
      <c r="G50" s="11"/>
      <c r="L50" s="2"/>
    </row>
    <row r="51" spans="2:12" x14ac:dyDescent="0.2">
      <c r="B51" s="16">
        <v>0.55900360000000004</v>
      </c>
      <c r="C51" s="16">
        <v>0.66666669999999995</v>
      </c>
      <c r="D51" s="16">
        <v>0.85714290000000004</v>
      </c>
      <c r="E51" s="16">
        <v>0.75</v>
      </c>
      <c r="F51" s="16" t="s">
        <v>61</v>
      </c>
      <c r="G51" s="11"/>
      <c r="L51" s="2"/>
    </row>
    <row r="52" spans="2:12" x14ac:dyDescent="0.2">
      <c r="B52" s="16">
        <v>0.55182209999999998</v>
      </c>
      <c r="C52" s="16">
        <v>0.8</v>
      </c>
      <c r="D52" s="16">
        <v>0.5</v>
      </c>
      <c r="E52" s="16">
        <v>0.61538459999999995</v>
      </c>
      <c r="F52" s="16" t="s">
        <v>53</v>
      </c>
      <c r="G52" s="11"/>
      <c r="L52" s="2"/>
    </row>
    <row r="53" spans="2:12" x14ac:dyDescent="0.2">
      <c r="B53" s="16">
        <v>0.60143869999999999</v>
      </c>
      <c r="C53" s="16">
        <v>0.75</v>
      </c>
      <c r="D53" s="16">
        <v>0.85714290000000004</v>
      </c>
      <c r="E53" s="16">
        <v>0.8</v>
      </c>
      <c r="F53" s="16" t="s">
        <v>54</v>
      </c>
      <c r="G53" s="11"/>
      <c r="L53" s="2"/>
    </row>
    <row r="54" spans="2:12" x14ac:dyDescent="0.2">
      <c r="B54" s="16">
        <v>0.61102400000000001</v>
      </c>
      <c r="C54" s="16">
        <v>1</v>
      </c>
      <c r="D54" s="16">
        <v>0.625</v>
      </c>
      <c r="E54" s="16">
        <v>0.76923079999999999</v>
      </c>
      <c r="F54" s="16" t="s">
        <v>39</v>
      </c>
      <c r="G54" s="11"/>
      <c r="H54" s="2"/>
      <c r="I54" s="8"/>
      <c r="J54" s="8"/>
      <c r="L54" s="2"/>
    </row>
    <row r="55" spans="2:12" x14ac:dyDescent="0.2">
      <c r="B55" s="16">
        <v>0.49808449999999999</v>
      </c>
      <c r="C55" s="16">
        <v>0.45454549999999999</v>
      </c>
      <c r="D55" s="16">
        <v>0.71428570000000002</v>
      </c>
      <c r="E55" s="16">
        <v>0.55555560000000004</v>
      </c>
      <c r="F55" s="16" t="s">
        <v>55</v>
      </c>
      <c r="G55" s="11"/>
      <c r="H55" s="2"/>
      <c r="I55" s="8"/>
      <c r="J55" s="8"/>
      <c r="L55" s="2"/>
    </row>
    <row r="56" spans="2:12" x14ac:dyDescent="0.2">
      <c r="B56" s="16">
        <v>0.49016660000000001</v>
      </c>
      <c r="C56" s="16">
        <v>0.5</v>
      </c>
      <c r="D56" s="16">
        <v>0.57142859999999995</v>
      </c>
      <c r="E56" s="16">
        <v>0.53333330000000001</v>
      </c>
      <c r="F56" s="16" t="s">
        <v>51</v>
      </c>
      <c r="G56" s="11"/>
      <c r="H56" s="2"/>
      <c r="I56" s="35"/>
      <c r="J56" s="8"/>
      <c r="L56" s="2"/>
    </row>
    <row r="57" spans="2:12" x14ac:dyDescent="0.2">
      <c r="B57" s="16">
        <v>0.54045010000000004</v>
      </c>
      <c r="C57" s="16">
        <v>0.6</v>
      </c>
      <c r="D57" s="16">
        <v>0.75</v>
      </c>
      <c r="E57" s="16">
        <v>0.66666669999999995</v>
      </c>
      <c r="F57" s="16" t="s">
        <v>48</v>
      </c>
      <c r="G57" s="11"/>
      <c r="H57" s="2"/>
      <c r="L57" s="2"/>
    </row>
    <row r="58" spans="2:12" x14ac:dyDescent="0.2">
      <c r="B58" s="16">
        <v>0.58205150000000005</v>
      </c>
      <c r="C58" s="16">
        <v>0.6</v>
      </c>
      <c r="D58" s="16">
        <v>0.75</v>
      </c>
      <c r="E58" s="16">
        <v>0.66666669999999995</v>
      </c>
      <c r="F58" s="16" t="s">
        <v>52</v>
      </c>
      <c r="G58" s="11"/>
      <c r="H58" s="2"/>
      <c r="L58" s="2"/>
    </row>
    <row r="59" spans="2:12" x14ac:dyDescent="0.2">
      <c r="B59" s="16">
        <v>0.56289769999999995</v>
      </c>
      <c r="C59" s="16">
        <v>0.5</v>
      </c>
      <c r="D59" s="16">
        <v>0.71428570000000002</v>
      </c>
      <c r="E59" s="16">
        <v>0.58823530000000002</v>
      </c>
      <c r="F59" s="16" t="s">
        <v>62</v>
      </c>
      <c r="G59" s="11"/>
      <c r="H59" s="2"/>
      <c r="L59" s="2"/>
    </row>
    <row r="60" spans="2:12" x14ac:dyDescent="0.2">
      <c r="B60" s="16">
        <v>0.4998977</v>
      </c>
      <c r="C60" s="16">
        <v>0.45454549999999999</v>
      </c>
      <c r="D60" s="16">
        <v>0.71428570000000002</v>
      </c>
      <c r="E60" s="16">
        <v>0.55555560000000004</v>
      </c>
      <c r="F60" s="16" t="s">
        <v>45</v>
      </c>
      <c r="G60" s="11"/>
      <c r="H60" s="2"/>
      <c r="L60" s="2"/>
    </row>
    <row r="61" spans="2:12" x14ac:dyDescent="0.2">
      <c r="B61" s="16">
        <v>0.36005340000000002</v>
      </c>
      <c r="C61" s="16">
        <v>0.42857139999999999</v>
      </c>
      <c r="D61" s="16">
        <v>0.42857139999999999</v>
      </c>
      <c r="E61" s="16">
        <v>0.42857139999999999</v>
      </c>
      <c r="F61" s="16" t="s">
        <v>41</v>
      </c>
      <c r="G61" s="11"/>
      <c r="H61" s="2"/>
      <c r="L61" s="2"/>
    </row>
    <row r="62" spans="2:12" x14ac:dyDescent="0.2">
      <c r="B62" s="16">
        <v>0.42145739999999998</v>
      </c>
      <c r="C62" s="16">
        <v>0.5</v>
      </c>
      <c r="D62" s="16">
        <v>0.71428570000000002</v>
      </c>
      <c r="E62" s="16">
        <v>0.58823530000000002</v>
      </c>
      <c r="F62" s="16" t="s">
        <v>59</v>
      </c>
      <c r="G62" s="11"/>
      <c r="H62" s="10"/>
      <c r="I62" s="2"/>
      <c r="L62" s="2"/>
    </row>
    <row r="63" spans="2:12" x14ac:dyDescent="0.2">
      <c r="B63" s="16">
        <v>0.46732970000000001</v>
      </c>
      <c r="C63" s="16">
        <v>0.625</v>
      </c>
      <c r="D63" s="16">
        <v>0.71428570000000002</v>
      </c>
      <c r="E63" s="16">
        <v>0.66666669999999995</v>
      </c>
      <c r="F63" s="16" t="s">
        <v>42</v>
      </c>
      <c r="G63" s="11"/>
      <c r="H63" s="10"/>
      <c r="I63" s="2"/>
      <c r="L63" s="2"/>
    </row>
    <row r="64" spans="2:12" x14ac:dyDescent="0.2">
      <c r="B64" s="16">
        <v>0.54386469999999998</v>
      </c>
      <c r="C64" s="16">
        <v>0.54545449999999995</v>
      </c>
      <c r="D64" s="16">
        <v>0.85714290000000004</v>
      </c>
      <c r="E64" s="16">
        <v>0.66666669999999995</v>
      </c>
      <c r="F64" s="16" t="s">
        <v>43</v>
      </c>
      <c r="G64" s="11"/>
      <c r="H64" s="5"/>
      <c r="I64" s="2"/>
      <c r="L64" s="2"/>
    </row>
    <row r="65" spans="2:9" x14ac:dyDescent="0.2">
      <c r="B65" s="16">
        <v>0.45401360000000002</v>
      </c>
      <c r="C65" s="16">
        <v>0.6</v>
      </c>
      <c r="D65" s="16">
        <v>0.85714290000000004</v>
      </c>
      <c r="E65" s="16">
        <v>0.70588240000000002</v>
      </c>
      <c r="F65" s="16" t="s">
        <v>58</v>
      </c>
      <c r="G65" s="11"/>
      <c r="H65" s="5"/>
      <c r="I65" s="2"/>
    </row>
    <row r="66" spans="2:9" x14ac:dyDescent="0.2">
      <c r="B66" s="16">
        <v>0.5201848</v>
      </c>
      <c r="C66" s="16">
        <v>0.5</v>
      </c>
      <c r="D66" s="16">
        <v>0.57142859999999995</v>
      </c>
      <c r="E66" s="16">
        <v>0.53333330000000001</v>
      </c>
      <c r="F66" s="16" t="s">
        <v>40</v>
      </c>
      <c r="G66" s="11"/>
      <c r="I66" s="2"/>
    </row>
    <row r="67" spans="2:9" x14ac:dyDescent="0.2">
      <c r="B67" s="16">
        <v>0.53081809999999996</v>
      </c>
      <c r="C67" s="16">
        <v>0.54545449999999995</v>
      </c>
      <c r="D67" s="16">
        <v>0.85714290000000004</v>
      </c>
      <c r="E67" s="16">
        <v>0.66666669999999995</v>
      </c>
      <c r="F67" s="16" t="s">
        <v>49</v>
      </c>
      <c r="G67" s="11"/>
      <c r="I67" s="2"/>
    </row>
    <row r="68" spans="2:9" x14ac:dyDescent="0.2">
      <c r="B68" s="16">
        <v>0.59717719999999996</v>
      </c>
      <c r="C68" s="16">
        <v>0.6</v>
      </c>
      <c r="D68" s="16">
        <v>0.42857139999999999</v>
      </c>
      <c r="E68" s="16">
        <v>0.5</v>
      </c>
      <c r="F68" s="16" t="s">
        <v>50</v>
      </c>
      <c r="G68" s="11"/>
      <c r="I68" s="2"/>
    </row>
    <row r="69" spans="2:9" x14ac:dyDescent="0.2">
      <c r="B69" s="16">
        <v>0.40365859999999998</v>
      </c>
      <c r="C69" s="16">
        <v>0.4375</v>
      </c>
      <c r="D69" s="16">
        <v>1</v>
      </c>
      <c r="E69" s="16">
        <v>0.60869569999999995</v>
      </c>
      <c r="F69" s="16" t="s">
        <v>46</v>
      </c>
      <c r="G69" s="11"/>
      <c r="I69" s="2"/>
    </row>
    <row r="70" spans="2:9" x14ac:dyDescent="0.2">
      <c r="B70" s="16">
        <v>0.56747199999999998</v>
      </c>
      <c r="C70" s="16">
        <v>0.5</v>
      </c>
      <c r="D70" s="16">
        <v>0.57142859999999995</v>
      </c>
      <c r="E70" s="16">
        <v>0.53333330000000001</v>
      </c>
      <c r="F70" s="16" t="s">
        <v>56</v>
      </c>
      <c r="G70" s="11"/>
      <c r="I70" s="2"/>
    </row>
    <row r="71" spans="2:9" x14ac:dyDescent="0.2">
      <c r="B71" s="16">
        <v>0.42226639999999999</v>
      </c>
      <c r="C71" s="16">
        <v>0.5</v>
      </c>
      <c r="D71" s="16">
        <v>0.625</v>
      </c>
      <c r="E71" s="16">
        <v>0.55555560000000004</v>
      </c>
      <c r="F71" s="16" t="s">
        <v>47</v>
      </c>
    </row>
  </sheetData>
  <mergeCells count="7">
    <mergeCell ref="B45:F45"/>
    <mergeCell ref="B2:K2"/>
    <mergeCell ref="B4:D4"/>
    <mergeCell ref="B9:C9"/>
    <mergeCell ref="B19:D19"/>
    <mergeCell ref="B24:C24"/>
    <mergeCell ref="B34:C3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4C64-B9BC-5140-A57E-DE62CA838B2A}">
  <dimension ref="B1:T71"/>
  <sheetViews>
    <sheetView topLeftCell="A32" zoomScale="110" workbookViewId="0">
      <selection activeCell="H20" sqref="H20"/>
    </sheetView>
  </sheetViews>
  <sheetFormatPr baseColWidth="10" defaultColWidth="11" defaultRowHeight="16" x14ac:dyDescent="0.2"/>
  <cols>
    <col min="2" max="2" width="28" bestFit="1" customWidth="1"/>
    <col min="3" max="3" width="19.33203125" bestFit="1" customWidth="1"/>
    <col min="4" max="4" width="22.33203125" bestFit="1" customWidth="1"/>
    <col min="5" max="5" width="27.33203125" bestFit="1" customWidth="1"/>
    <col min="6" max="6" width="23.5" bestFit="1" customWidth="1"/>
    <col min="7" max="7" width="12.83203125" bestFit="1" customWidth="1"/>
    <col min="8" max="8" width="14.5" bestFit="1" customWidth="1"/>
    <col min="9" max="9" width="22.5" bestFit="1" customWidth="1"/>
    <col min="10" max="10" width="15.1640625" bestFit="1" customWidth="1"/>
    <col min="11" max="11" width="22.5" bestFit="1" customWidth="1"/>
    <col min="17" max="17" width="24" bestFit="1" customWidth="1"/>
    <col min="18" max="18" width="22.5" bestFit="1" customWidth="1"/>
    <col min="19" max="19" width="15" bestFit="1" customWidth="1"/>
  </cols>
  <sheetData>
    <row r="1" spans="2:20" x14ac:dyDescent="0.2">
      <c r="Q1" s="41"/>
    </row>
    <row r="2" spans="2:20" x14ac:dyDescent="0.2">
      <c r="B2" s="50" t="s">
        <v>171</v>
      </c>
      <c r="C2" s="51"/>
      <c r="D2" s="51"/>
      <c r="E2" s="51"/>
      <c r="F2" s="51"/>
      <c r="G2" s="51"/>
      <c r="H2" s="51"/>
      <c r="I2" s="51"/>
      <c r="J2" s="51"/>
      <c r="K2" s="51"/>
      <c r="Q2" s="41"/>
    </row>
    <row r="3" spans="2:20" x14ac:dyDescent="0.2">
      <c r="Q3" s="41"/>
      <c r="T3" s="8"/>
    </row>
    <row r="4" spans="2:20" x14ac:dyDescent="0.2">
      <c r="B4" s="49" t="s">
        <v>36</v>
      </c>
      <c r="C4" s="49"/>
      <c r="D4" s="49"/>
      <c r="E4" s="6"/>
      <c r="F4" s="6"/>
      <c r="G4" s="42" t="s">
        <v>30</v>
      </c>
      <c r="H4" s="42" t="s">
        <v>34</v>
      </c>
      <c r="I4" s="43" t="s">
        <v>173</v>
      </c>
      <c r="J4" s="44" t="s">
        <v>174</v>
      </c>
      <c r="K4" s="45" t="s">
        <v>175</v>
      </c>
      <c r="N4" s="2"/>
      <c r="O4" s="8"/>
      <c r="R4" s="40"/>
    </row>
    <row r="5" spans="2:20" x14ac:dyDescent="0.2">
      <c r="B5" s="9" t="s">
        <v>172</v>
      </c>
      <c r="C5" s="9" t="s">
        <v>10</v>
      </c>
      <c r="D5" s="9" t="s">
        <v>11</v>
      </c>
      <c r="E5" s="5"/>
      <c r="F5" s="5"/>
      <c r="G5" s="40" t="s">
        <v>29</v>
      </c>
      <c r="I5" s="8">
        <v>8.4185510000000008</v>
      </c>
      <c r="J5" s="58">
        <v>4.3003467199999999E-2</v>
      </c>
      <c r="K5" s="8">
        <v>-4.4317143999999999E-3</v>
      </c>
      <c r="N5" s="2"/>
      <c r="O5" s="8"/>
      <c r="R5" s="40"/>
    </row>
    <row r="6" spans="2:20" x14ac:dyDescent="0.2">
      <c r="B6" s="9" t="s">
        <v>8</v>
      </c>
      <c r="C6" s="10">
        <v>28</v>
      </c>
      <c r="D6" s="10">
        <v>20</v>
      </c>
      <c r="E6" s="5"/>
      <c r="F6" s="5"/>
      <c r="G6" s="40" t="s">
        <v>78</v>
      </c>
      <c r="I6" s="8">
        <v>25.486740000000001</v>
      </c>
      <c r="J6" s="8">
        <v>2.2154350400000002E-2</v>
      </c>
      <c r="K6" s="8">
        <v>-1.29831237E-2</v>
      </c>
      <c r="N6" s="2"/>
      <c r="O6" s="8"/>
      <c r="R6" s="40"/>
    </row>
    <row r="7" spans="2:20" x14ac:dyDescent="0.2">
      <c r="B7" s="9" t="s">
        <v>9</v>
      </c>
      <c r="C7" s="10">
        <v>8</v>
      </c>
      <c r="D7" s="10">
        <v>129</v>
      </c>
      <c r="E7" s="6"/>
      <c r="F7" s="6"/>
      <c r="G7" s="40" t="s">
        <v>79</v>
      </c>
      <c r="I7" s="8">
        <v>14.26173</v>
      </c>
      <c r="J7" s="8">
        <v>2.2008211400000002E-2</v>
      </c>
      <c r="K7" s="8">
        <v>-7.3592314000000001E-3</v>
      </c>
      <c r="N7" s="2"/>
      <c r="O7" s="8"/>
      <c r="R7" s="40"/>
    </row>
    <row r="8" spans="2:20" x14ac:dyDescent="0.2">
      <c r="B8" s="5"/>
      <c r="C8" s="5"/>
      <c r="D8" s="5"/>
      <c r="E8" s="5"/>
      <c r="F8" s="5"/>
      <c r="G8" s="40" t="s">
        <v>80</v>
      </c>
      <c r="I8" s="8">
        <v>14.860404000000001</v>
      </c>
      <c r="J8" s="8">
        <v>8.5242744000000002E-3</v>
      </c>
      <c r="K8" s="8">
        <v>-7.6591760000000002E-3</v>
      </c>
      <c r="N8" s="2"/>
      <c r="O8" s="8"/>
      <c r="R8" s="40"/>
    </row>
    <row r="9" spans="2:20" x14ac:dyDescent="0.2">
      <c r="B9" s="51" t="s">
        <v>70</v>
      </c>
      <c r="C9" s="51"/>
      <c r="D9" s="5" t="s">
        <v>37</v>
      </c>
      <c r="E9" s="5"/>
      <c r="F9" s="5"/>
      <c r="G9" s="40" t="s">
        <v>81</v>
      </c>
      <c r="I9" s="8">
        <v>26.855142000000001</v>
      </c>
      <c r="J9" s="58">
        <v>-3.661402E-4</v>
      </c>
      <c r="K9" s="8">
        <v>-1.3668712899999999E-2</v>
      </c>
      <c r="N9" s="2"/>
      <c r="O9" s="8"/>
      <c r="R9" s="40"/>
    </row>
    <row r="10" spans="2:20" x14ac:dyDescent="0.2">
      <c r="B10" s="5" t="s">
        <v>22</v>
      </c>
      <c r="C10" s="5">
        <v>0.77780000000000005</v>
      </c>
      <c r="D10" s="5"/>
      <c r="E10" s="5"/>
      <c r="F10" s="5"/>
      <c r="G10" s="40" t="s">
        <v>82</v>
      </c>
      <c r="I10" s="8">
        <v>22.715229999999998</v>
      </c>
      <c r="J10" s="58">
        <v>1.45542647E-2</v>
      </c>
      <c r="K10" s="8">
        <v>-1.1594557E-2</v>
      </c>
      <c r="N10" s="2"/>
      <c r="O10" s="8"/>
      <c r="R10" s="40"/>
    </row>
    <row r="11" spans="2:20" x14ac:dyDescent="0.2">
      <c r="B11" s="5" t="s">
        <v>21</v>
      </c>
      <c r="C11" s="5">
        <v>0.86580000000000001</v>
      </c>
      <c r="D11" s="5"/>
      <c r="E11" s="5"/>
      <c r="F11" s="5"/>
      <c r="G11" s="40" t="s">
        <v>83</v>
      </c>
      <c r="I11" s="8">
        <v>12.737817</v>
      </c>
      <c r="J11" s="58">
        <v>-5.6935574000000003E-3</v>
      </c>
      <c r="K11" s="8">
        <v>6.5957291000000003E-3</v>
      </c>
      <c r="N11" s="2"/>
      <c r="O11" s="8"/>
      <c r="R11" s="40"/>
    </row>
    <row r="12" spans="2:20" x14ac:dyDescent="0.2">
      <c r="B12" s="5" t="s">
        <v>20</v>
      </c>
      <c r="C12" s="5">
        <v>0.58330000000000004</v>
      </c>
      <c r="D12" s="5"/>
      <c r="E12" s="5"/>
      <c r="F12" s="5"/>
      <c r="G12" s="40" t="s">
        <v>84</v>
      </c>
      <c r="I12" s="8">
        <v>19.606179999999998</v>
      </c>
      <c r="J12" s="58">
        <v>3.62767934E-2</v>
      </c>
      <c r="K12" s="8">
        <v>1.00368781E-2</v>
      </c>
      <c r="N12" s="2"/>
      <c r="O12" s="8"/>
      <c r="R12" s="40"/>
    </row>
    <row r="13" spans="2:20" x14ac:dyDescent="0.2">
      <c r="B13" s="5" t="s">
        <v>19</v>
      </c>
      <c r="C13" s="5">
        <v>0.94159999999999999</v>
      </c>
      <c r="D13" s="5"/>
      <c r="E13" s="5"/>
      <c r="F13" s="5"/>
      <c r="G13" s="40" t="s">
        <v>85</v>
      </c>
      <c r="I13" s="8">
        <v>26.149452</v>
      </c>
      <c r="J13" s="58">
        <v>1.6015742199999999E-2</v>
      </c>
      <c r="K13" s="8">
        <v>-1.3315151900000001E-2</v>
      </c>
      <c r="N13" s="2"/>
      <c r="O13" s="8"/>
      <c r="R13" s="40"/>
    </row>
    <row r="14" spans="2:20" x14ac:dyDescent="0.2">
      <c r="B14" s="5" t="s">
        <v>18</v>
      </c>
      <c r="C14" s="5">
        <v>0.84860000000000002</v>
      </c>
      <c r="D14" s="5"/>
      <c r="E14" s="5"/>
      <c r="F14" s="5"/>
      <c r="G14" s="40" t="s">
        <v>86</v>
      </c>
      <c r="I14" s="8">
        <v>12.347033</v>
      </c>
      <c r="J14" s="58">
        <v>2.5126188899999999E-2</v>
      </c>
      <c r="K14" s="8">
        <v>-6.3999405000000004E-3</v>
      </c>
      <c r="N14" s="2"/>
      <c r="O14" s="8"/>
      <c r="R14" s="40"/>
    </row>
    <row r="15" spans="2:20" x14ac:dyDescent="0.2">
      <c r="B15" s="5" t="s">
        <v>17</v>
      </c>
      <c r="C15" s="5">
        <v>0.66669999999999996</v>
      </c>
      <c r="D15" s="5"/>
      <c r="E15" s="5"/>
      <c r="F15" s="5"/>
      <c r="G15" s="40" t="s">
        <v>87</v>
      </c>
      <c r="I15" s="8">
        <v>15.093870000000001</v>
      </c>
      <c r="J15" s="58">
        <v>1.4098534999999999E-3</v>
      </c>
      <c r="K15" s="8">
        <v>7.7761456000000001E-3</v>
      </c>
      <c r="N15" s="2"/>
      <c r="O15" s="8"/>
      <c r="R15" s="40"/>
    </row>
    <row r="16" spans="2:20" x14ac:dyDescent="0.2">
      <c r="B16" s="5" t="s">
        <v>28</v>
      </c>
      <c r="C16" s="5">
        <v>0.58120000000000005</v>
      </c>
      <c r="D16" s="5"/>
      <c r="E16" s="5"/>
      <c r="F16" s="5"/>
      <c r="G16" s="40" t="s">
        <v>88</v>
      </c>
      <c r="I16" s="8">
        <v>17.447938000000001</v>
      </c>
      <c r="J16" s="58">
        <v>1.52738518E-2</v>
      </c>
      <c r="K16" s="8">
        <v>8.9555678999999992E-3</v>
      </c>
      <c r="N16" s="2"/>
      <c r="O16" s="8"/>
      <c r="R16" s="40"/>
    </row>
    <row r="17" spans="2:18" x14ac:dyDescent="0.2">
      <c r="B17" s="5" t="s">
        <v>33</v>
      </c>
      <c r="C17" s="5">
        <v>0.82179999999999997</v>
      </c>
      <c r="D17" s="5"/>
      <c r="E17" s="5"/>
      <c r="F17" s="5"/>
      <c r="G17" s="40" t="s">
        <v>122</v>
      </c>
      <c r="I17" s="8"/>
      <c r="J17" s="58">
        <v>2.4576784000000001E-2</v>
      </c>
      <c r="K17" s="8"/>
      <c r="N17" s="2"/>
      <c r="O17" s="8"/>
      <c r="R17" s="40"/>
    </row>
    <row r="18" spans="2:18" x14ac:dyDescent="0.2">
      <c r="B18" s="5"/>
      <c r="C18" s="5"/>
      <c r="D18" s="5"/>
      <c r="E18" s="5"/>
      <c r="F18" s="5"/>
      <c r="G18" s="40" t="s">
        <v>89</v>
      </c>
      <c r="I18" s="8">
        <v>74.519639999999995</v>
      </c>
      <c r="J18" s="58"/>
      <c r="K18" s="8">
        <v>-3.7549314799999997E-2</v>
      </c>
      <c r="N18" s="2"/>
      <c r="O18" s="8"/>
      <c r="R18" s="39"/>
    </row>
    <row r="19" spans="2:18" x14ac:dyDescent="0.2">
      <c r="B19" s="49" t="s">
        <v>35</v>
      </c>
      <c r="C19" s="49"/>
      <c r="D19" s="49"/>
      <c r="E19" s="5"/>
      <c r="F19" s="5"/>
      <c r="G19" s="39" t="s">
        <v>123</v>
      </c>
      <c r="I19" s="8"/>
      <c r="J19" s="58">
        <v>2.4426420000000001E-2</v>
      </c>
      <c r="K19" s="8"/>
      <c r="N19" s="2"/>
      <c r="O19" s="8"/>
      <c r="R19" s="40"/>
    </row>
    <row r="20" spans="2:18" x14ac:dyDescent="0.2">
      <c r="B20" s="9" t="s">
        <v>172</v>
      </c>
      <c r="C20" s="9" t="s">
        <v>10</v>
      </c>
      <c r="D20" s="9" t="s">
        <v>11</v>
      </c>
      <c r="E20" s="5"/>
      <c r="F20" s="5"/>
      <c r="G20" s="40" t="s">
        <v>90</v>
      </c>
      <c r="I20" s="8">
        <v>76.670381000000006</v>
      </c>
      <c r="J20" s="58"/>
      <c r="K20" s="8">
        <v>-3.8626867099999997E-2</v>
      </c>
      <c r="N20" s="2"/>
      <c r="O20" s="8"/>
      <c r="R20" s="40"/>
    </row>
    <row r="21" spans="2:18" x14ac:dyDescent="0.2">
      <c r="B21" s="9" t="s">
        <v>8</v>
      </c>
      <c r="C21" s="10">
        <v>2</v>
      </c>
      <c r="D21" s="10">
        <v>6</v>
      </c>
      <c r="E21" s="5"/>
      <c r="F21" s="5"/>
      <c r="G21" s="40" t="s">
        <v>91</v>
      </c>
      <c r="I21" s="8">
        <v>76.401974999999993</v>
      </c>
      <c r="J21" s="58"/>
      <c r="K21" s="8">
        <v>3.8492391700000003E-2</v>
      </c>
      <c r="N21" s="2"/>
      <c r="O21" s="8"/>
      <c r="P21" s="8"/>
      <c r="R21" s="40"/>
    </row>
    <row r="22" spans="2:18" x14ac:dyDescent="0.2">
      <c r="B22" s="9" t="s">
        <v>9</v>
      </c>
      <c r="C22" s="10">
        <v>7</v>
      </c>
      <c r="D22" s="10">
        <v>31</v>
      </c>
      <c r="E22" s="5"/>
      <c r="F22" s="5"/>
      <c r="G22" s="40" t="s">
        <v>92</v>
      </c>
      <c r="I22" s="8">
        <v>73.576016999999993</v>
      </c>
      <c r="J22" s="58"/>
      <c r="K22" s="8">
        <v>3.7076546299999999E-2</v>
      </c>
      <c r="N22" s="2"/>
      <c r="O22" s="8"/>
      <c r="P22" s="8"/>
      <c r="R22" s="40"/>
    </row>
    <row r="23" spans="2:18" x14ac:dyDescent="0.2">
      <c r="B23" s="5"/>
      <c r="C23" s="5"/>
      <c r="D23" s="5"/>
      <c r="E23" s="5"/>
      <c r="F23" s="5"/>
      <c r="G23" s="40" t="s">
        <v>93</v>
      </c>
      <c r="I23" s="8">
        <v>84.235269000000002</v>
      </c>
      <c r="J23" s="58"/>
      <c r="K23" s="8">
        <v>4.2416985300000001E-2</v>
      </c>
      <c r="N23" s="2"/>
      <c r="O23" s="8"/>
      <c r="P23" s="8"/>
      <c r="R23" s="39"/>
    </row>
    <row r="24" spans="2:18" x14ac:dyDescent="0.2">
      <c r="B24" s="51" t="s">
        <v>69</v>
      </c>
      <c r="C24" s="51"/>
      <c r="D24" s="5"/>
      <c r="E24" s="5"/>
      <c r="F24" s="5"/>
      <c r="G24" s="39" t="s">
        <v>124</v>
      </c>
      <c r="I24" s="8"/>
      <c r="J24" s="58">
        <v>3.5314046500000001E-2</v>
      </c>
      <c r="K24" s="8"/>
      <c r="N24" s="2"/>
      <c r="O24" s="8"/>
      <c r="P24" s="8"/>
      <c r="R24" s="40"/>
    </row>
    <row r="25" spans="2:18" x14ac:dyDescent="0.2">
      <c r="B25" s="5" t="s">
        <v>22</v>
      </c>
      <c r="C25" s="5">
        <v>0.22222</v>
      </c>
      <c r="D25" s="5"/>
      <c r="E25" s="5"/>
      <c r="F25" s="5"/>
      <c r="G25" s="40" t="s">
        <v>94</v>
      </c>
      <c r="I25" s="8">
        <v>6.8724439999999998</v>
      </c>
      <c r="J25" s="58"/>
      <c r="K25" s="8">
        <v>-3.6570922999999999E-3</v>
      </c>
      <c r="N25" s="2"/>
      <c r="O25" s="8"/>
      <c r="R25" s="40"/>
    </row>
    <row r="26" spans="2:18" x14ac:dyDescent="0.2">
      <c r="B26" s="5" t="s">
        <v>21</v>
      </c>
      <c r="C26" s="5">
        <v>0.83784000000000003</v>
      </c>
      <c r="D26" s="5"/>
      <c r="E26" s="5"/>
      <c r="F26" s="5"/>
      <c r="G26" s="40" t="s">
        <v>95</v>
      </c>
      <c r="I26" s="8">
        <v>37.914931000000003</v>
      </c>
      <c r="J26" s="58"/>
      <c r="K26" s="8">
        <v>1.9209826999999999E-2</v>
      </c>
      <c r="N26" s="2"/>
      <c r="O26" s="8"/>
      <c r="R26" s="40"/>
    </row>
    <row r="27" spans="2:18" x14ac:dyDescent="0.2">
      <c r="B27" s="5" t="s">
        <v>20</v>
      </c>
      <c r="C27" s="5">
        <v>0.25</v>
      </c>
      <c r="D27" s="5"/>
      <c r="E27" s="5"/>
      <c r="F27" s="5"/>
      <c r="G27" s="40" t="s">
        <v>96</v>
      </c>
      <c r="I27" s="8">
        <v>83.869838000000001</v>
      </c>
      <c r="J27" s="58"/>
      <c r="K27" s="8">
        <v>-4.2233899300000002E-2</v>
      </c>
      <c r="R27" s="40"/>
    </row>
    <row r="28" spans="2:18" x14ac:dyDescent="0.2">
      <c r="B28" s="5" t="s">
        <v>19</v>
      </c>
      <c r="C28" s="5">
        <v>0.81579000000000002</v>
      </c>
      <c r="D28" s="5"/>
      <c r="E28" s="5"/>
      <c r="F28" s="5"/>
      <c r="G28" s="40" t="s">
        <v>97</v>
      </c>
      <c r="I28" s="8">
        <v>15.486228000000001</v>
      </c>
      <c r="J28" s="58"/>
      <c r="K28" s="8">
        <v>7.9727224999999995E-3</v>
      </c>
      <c r="R28" s="40"/>
    </row>
    <row r="29" spans="2:18" x14ac:dyDescent="0.2">
      <c r="B29" s="5" t="s">
        <v>18</v>
      </c>
      <c r="C29" s="5">
        <v>0.71740000000000004</v>
      </c>
      <c r="D29" s="5"/>
      <c r="E29" s="5"/>
      <c r="F29" s="5"/>
      <c r="G29" s="40" t="s">
        <v>98</v>
      </c>
      <c r="I29" s="8">
        <v>0</v>
      </c>
      <c r="J29" s="58"/>
      <c r="K29" s="8">
        <v>2.1389870000000001E-4</v>
      </c>
      <c r="R29" s="39"/>
    </row>
    <row r="30" spans="2:18" x14ac:dyDescent="0.2">
      <c r="B30" s="5" t="s">
        <v>17</v>
      </c>
      <c r="C30" s="5">
        <v>0.23530000000000001</v>
      </c>
      <c r="D30" s="5"/>
      <c r="E30" s="5"/>
      <c r="F30" s="5"/>
      <c r="G30" s="39" t="s">
        <v>129</v>
      </c>
      <c r="I30" s="5"/>
      <c r="J30" s="58">
        <v>2.0306752399999999E-2</v>
      </c>
      <c r="R30" s="40"/>
    </row>
    <row r="31" spans="2:18" x14ac:dyDescent="0.2">
      <c r="B31" s="5" t="s">
        <v>28</v>
      </c>
      <c r="C31" s="5">
        <v>6.2899999999999998E-2</v>
      </c>
      <c r="D31" s="5"/>
      <c r="E31" s="5"/>
      <c r="F31" s="5"/>
      <c r="G31" s="40" t="s">
        <v>99</v>
      </c>
      <c r="I31" s="8">
        <v>100</v>
      </c>
      <c r="J31" s="58"/>
      <c r="K31" s="8">
        <v>-5.0315343300000002E-2</v>
      </c>
      <c r="R31" s="39"/>
    </row>
    <row r="32" spans="2:18" x14ac:dyDescent="0.2">
      <c r="B32" s="5" t="s">
        <v>33</v>
      </c>
      <c r="C32" s="5">
        <v>0.53003</v>
      </c>
      <c r="D32" s="5"/>
      <c r="E32" s="5"/>
      <c r="F32" s="5"/>
      <c r="G32" s="39" t="s">
        <v>128</v>
      </c>
      <c r="I32" s="5"/>
      <c r="J32" s="58">
        <v>1.2686885E-2</v>
      </c>
      <c r="R32" s="40"/>
    </row>
    <row r="33" spans="2:18" x14ac:dyDescent="0.2">
      <c r="E33" s="5"/>
      <c r="F33" s="5"/>
      <c r="G33" s="40" t="s">
        <v>100</v>
      </c>
      <c r="I33" s="8">
        <v>73.977264000000005</v>
      </c>
      <c r="J33" s="58"/>
      <c r="K33" s="8">
        <v>-3.7277576399999998E-2</v>
      </c>
      <c r="R33" s="39"/>
    </row>
    <row r="34" spans="2:18" x14ac:dyDescent="0.2">
      <c r="B34" s="52" t="s">
        <v>111</v>
      </c>
      <c r="C34" s="52"/>
      <c r="E34" s="5"/>
      <c r="F34" s="5"/>
      <c r="G34" s="39" t="s">
        <v>127</v>
      </c>
      <c r="I34" s="5"/>
      <c r="J34" s="58">
        <v>4.28992256E-2</v>
      </c>
      <c r="R34" s="40"/>
    </row>
    <row r="35" spans="2:18" x14ac:dyDescent="0.2">
      <c r="B35" s="5" t="s">
        <v>38</v>
      </c>
      <c r="C35" s="5" t="s">
        <v>112</v>
      </c>
      <c r="E35" s="12" t="s">
        <v>13</v>
      </c>
      <c r="F35" s="6"/>
      <c r="G35" s="40" t="s">
        <v>101</v>
      </c>
      <c r="I35" s="8">
        <v>49.393312999999999</v>
      </c>
      <c r="J35" s="58"/>
      <c r="K35" s="8">
        <v>2.4960662000000002E-2</v>
      </c>
      <c r="L35" s="8"/>
      <c r="M35" s="8"/>
      <c r="N35" s="8"/>
      <c r="R35" s="40"/>
    </row>
    <row r="36" spans="2:18" x14ac:dyDescent="0.2">
      <c r="B36" s="16" t="s">
        <v>73</v>
      </c>
      <c r="C36" s="16">
        <v>0.60319160000000005</v>
      </c>
      <c r="E36" s="4" t="s">
        <v>169</v>
      </c>
      <c r="F36" s="4"/>
      <c r="G36" s="40" t="s">
        <v>102</v>
      </c>
      <c r="I36" s="8">
        <v>38.199286999999998</v>
      </c>
      <c r="J36" s="58"/>
      <c r="K36" s="8">
        <v>1.9352293600000001E-2</v>
      </c>
      <c r="L36" s="8"/>
      <c r="M36" s="8"/>
      <c r="N36" s="8"/>
      <c r="R36" s="40"/>
    </row>
    <row r="37" spans="2:18" x14ac:dyDescent="0.2">
      <c r="B37" s="16" t="s">
        <v>74</v>
      </c>
      <c r="C37" s="16">
        <v>0.55419839999999998</v>
      </c>
      <c r="E37" s="5" t="s">
        <v>176</v>
      </c>
      <c r="F37" s="5"/>
      <c r="G37" s="40" t="s">
        <v>103</v>
      </c>
      <c r="I37" s="8">
        <v>65.117520999999996</v>
      </c>
      <c r="J37" s="58"/>
      <c r="K37" s="8">
        <v>-3.2838717199999999E-2</v>
      </c>
      <c r="L37" s="8"/>
      <c r="M37" s="8"/>
      <c r="N37" s="8"/>
      <c r="R37" s="39"/>
    </row>
    <row r="38" spans="2:18" x14ac:dyDescent="0.2">
      <c r="B38" s="16" t="s">
        <v>75</v>
      </c>
      <c r="C38" s="16">
        <v>0.62790469999999998</v>
      </c>
      <c r="E38" s="18"/>
      <c r="F38" s="18"/>
      <c r="G38" s="39" t="s">
        <v>126</v>
      </c>
      <c r="I38" s="5"/>
      <c r="J38" s="58">
        <v>2.2808007500000001E-2</v>
      </c>
      <c r="L38" s="8"/>
      <c r="M38" s="8"/>
      <c r="N38" s="8"/>
      <c r="R38" s="40"/>
    </row>
    <row r="39" spans="2:18" x14ac:dyDescent="0.2">
      <c r="B39" s="16" t="s">
        <v>76</v>
      </c>
      <c r="C39" s="16">
        <v>0.60344779999999998</v>
      </c>
      <c r="E39" s="36" t="s">
        <v>168</v>
      </c>
      <c r="F39" s="36"/>
      <c r="G39" s="40" t="s">
        <v>104</v>
      </c>
      <c r="I39" s="8">
        <v>64.166449999999998</v>
      </c>
      <c r="J39" s="8"/>
      <c r="K39" s="8">
        <v>-3.2362216999999999E-2</v>
      </c>
      <c r="L39" s="8"/>
      <c r="M39" s="8"/>
      <c r="N39" s="8"/>
      <c r="R39" s="39"/>
    </row>
    <row r="40" spans="2:18" x14ac:dyDescent="0.2">
      <c r="B40" s="16" t="s">
        <v>77</v>
      </c>
      <c r="C40" s="16">
        <v>0.62878789999999996</v>
      </c>
      <c r="G40" s="39" t="s">
        <v>125</v>
      </c>
      <c r="I40" s="5"/>
      <c r="J40" s="8">
        <v>-1.2049715399999999E-2</v>
      </c>
      <c r="L40" s="8"/>
      <c r="M40" s="8"/>
      <c r="N40" s="8"/>
      <c r="R40" s="40"/>
    </row>
    <row r="41" spans="2:18" x14ac:dyDescent="0.2">
      <c r="B41" s="16"/>
      <c r="C41" s="16"/>
      <c r="G41" s="40" t="s">
        <v>105</v>
      </c>
      <c r="I41" s="8">
        <v>63.828018</v>
      </c>
      <c r="J41" s="8"/>
      <c r="K41" s="8">
        <v>3.2192657999999999E-2</v>
      </c>
      <c r="L41" s="8"/>
      <c r="M41" s="8"/>
      <c r="N41" s="8"/>
      <c r="R41" s="40"/>
    </row>
    <row r="42" spans="2:18" x14ac:dyDescent="0.2">
      <c r="B42" s="16"/>
      <c r="C42" s="16"/>
      <c r="G42" s="40" t="s">
        <v>106</v>
      </c>
      <c r="I42" s="8">
        <v>39.217210999999999</v>
      </c>
      <c r="J42" s="8"/>
      <c r="K42" s="8">
        <v>-1.9862287900000001E-2</v>
      </c>
      <c r="L42" s="8"/>
      <c r="M42" s="8"/>
      <c r="N42" s="8"/>
      <c r="R42" s="40"/>
    </row>
    <row r="43" spans="2:18" x14ac:dyDescent="0.2">
      <c r="G43" s="40" t="s">
        <v>107</v>
      </c>
      <c r="I43" s="8">
        <v>62.241981000000003</v>
      </c>
      <c r="J43" s="8"/>
      <c r="K43" s="8">
        <v>-3.1398030299999997E-2</v>
      </c>
      <c r="L43" s="8"/>
      <c r="M43" s="8"/>
      <c r="N43" s="8"/>
    </row>
    <row r="44" spans="2:18" x14ac:dyDescent="0.2">
      <c r="F44" s="40"/>
      <c r="H44" s="2"/>
      <c r="J44" s="8"/>
      <c r="K44" s="8"/>
      <c r="L44" s="8"/>
      <c r="M44" s="8"/>
    </row>
    <row r="45" spans="2:18" x14ac:dyDescent="0.2">
      <c r="B45" s="49" t="s">
        <v>108</v>
      </c>
      <c r="C45" s="49"/>
      <c r="D45" s="49"/>
      <c r="E45" s="49"/>
      <c r="F45" s="49"/>
      <c r="G45" s="6"/>
      <c r="H45" s="2"/>
      <c r="J45" s="8"/>
      <c r="K45" s="18" t="s">
        <v>195</v>
      </c>
      <c r="L45" s="8"/>
      <c r="M45" s="8"/>
    </row>
    <row r="46" spans="2:18" x14ac:dyDescent="0.2">
      <c r="B46" s="5" t="s">
        <v>112</v>
      </c>
      <c r="C46" s="5" t="s">
        <v>5</v>
      </c>
      <c r="D46" s="5" t="s">
        <v>6</v>
      </c>
      <c r="E46" s="5" t="s">
        <v>7</v>
      </c>
      <c r="F46" s="5" t="s">
        <v>38</v>
      </c>
      <c r="G46" s="5"/>
      <c r="H46" s="2"/>
      <c r="J46" s="8"/>
      <c r="K46" s="18" t="s">
        <v>194</v>
      </c>
      <c r="L46" s="8"/>
      <c r="M46" s="8"/>
    </row>
    <row r="47" spans="2:18" x14ac:dyDescent="0.2">
      <c r="B47" s="16">
        <v>0.56459499999999996</v>
      </c>
      <c r="C47" s="16">
        <v>0.4166667</v>
      </c>
      <c r="D47" s="16">
        <v>0.71428570000000002</v>
      </c>
      <c r="E47" s="16">
        <v>0.5263158</v>
      </c>
      <c r="F47" s="16" t="s">
        <v>44</v>
      </c>
      <c r="G47" s="11"/>
      <c r="H47" s="2"/>
      <c r="J47" s="8"/>
      <c r="K47" s="8"/>
      <c r="L47" s="8"/>
      <c r="M47" s="8"/>
    </row>
    <row r="48" spans="2:18" x14ac:dyDescent="0.2">
      <c r="B48" s="16">
        <v>0.53290130000000002</v>
      </c>
      <c r="C48" s="16">
        <v>0.45454549999999999</v>
      </c>
      <c r="D48" s="16">
        <v>0.71428570000000002</v>
      </c>
      <c r="E48" s="16">
        <v>0.55555560000000004</v>
      </c>
      <c r="F48" s="16" t="s">
        <v>63</v>
      </c>
      <c r="G48" s="11"/>
      <c r="I48" s="8"/>
      <c r="J48" s="8"/>
      <c r="K48" s="8"/>
      <c r="L48" s="8"/>
      <c r="M48" s="8"/>
      <c r="O48" s="27"/>
      <c r="P48" s="5"/>
    </row>
    <row r="49" spans="2:19" x14ac:dyDescent="0.2">
      <c r="B49" s="16">
        <v>0.22744600000000001</v>
      </c>
      <c r="C49" s="16">
        <v>0.3</v>
      </c>
      <c r="D49" s="16">
        <v>0.42857139999999999</v>
      </c>
      <c r="E49" s="16">
        <v>0.35294120000000001</v>
      </c>
      <c r="F49" s="16" t="s">
        <v>60</v>
      </c>
      <c r="G49" s="11"/>
      <c r="I49" s="8"/>
      <c r="J49" s="8"/>
      <c r="K49" s="8"/>
      <c r="L49" s="8"/>
      <c r="M49" s="8"/>
      <c r="O49" s="27"/>
      <c r="P49" s="5"/>
    </row>
    <row r="50" spans="2:19" x14ac:dyDescent="0.2">
      <c r="B50" s="16">
        <v>0.60133440000000005</v>
      </c>
      <c r="C50" s="16">
        <v>0.75</v>
      </c>
      <c r="D50" s="16">
        <v>0.85714290000000004</v>
      </c>
      <c r="E50" s="16">
        <v>0.8</v>
      </c>
      <c r="F50" s="16" t="s">
        <v>57</v>
      </c>
      <c r="G50" s="11"/>
      <c r="I50" s="8"/>
      <c r="J50" s="8"/>
      <c r="K50" s="8"/>
      <c r="L50" s="8"/>
      <c r="M50" s="8"/>
      <c r="O50" s="27"/>
      <c r="P50" s="5"/>
      <c r="Q50" s="28"/>
      <c r="S50" s="8"/>
    </row>
    <row r="51" spans="2:19" x14ac:dyDescent="0.2">
      <c r="B51" s="16">
        <v>0.55900360000000004</v>
      </c>
      <c r="C51" s="16">
        <v>0.66666669999999995</v>
      </c>
      <c r="D51" s="16">
        <v>0.85714290000000004</v>
      </c>
      <c r="E51" s="16">
        <v>0.75</v>
      </c>
      <c r="F51" s="16" t="s">
        <v>61</v>
      </c>
      <c r="G51" s="11"/>
      <c r="I51" s="8"/>
      <c r="J51" s="8"/>
      <c r="K51" s="8"/>
      <c r="L51" s="8"/>
      <c r="M51" s="8"/>
      <c r="O51" s="27"/>
      <c r="P51" s="5"/>
      <c r="Q51" s="28"/>
      <c r="S51" s="8"/>
    </row>
    <row r="52" spans="2:19" x14ac:dyDescent="0.2">
      <c r="B52" s="16">
        <v>0.55182209999999998</v>
      </c>
      <c r="C52" s="16">
        <v>0.8</v>
      </c>
      <c r="D52" s="16">
        <v>0.5</v>
      </c>
      <c r="E52" s="16">
        <v>0.61538459999999995</v>
      </c>
      <c r="F52" s="16" t="s">
        <v>53</v>
      </c>
      <c r="G52" s="11"/>
      <c r="I52" s="8"/>
      <c r="J52" s="8"/>
      <c r="K52" s="8"/>
      <c r="L52" s="8"/>
      <c r="M52" s="8"/>
      <c r="O52" s="27"/>
      <c r="P52" s="5"/>
      <c r="Q52" s="28"/>
      <c r="S52" s="8"/>
    </row>
    <row r="53" spans="2:19" x14ac:dyDescent="0.2">
      <c r="B53" s="16">
        <v>0.60143869999999999</v>
      </c>
      <c r="C53" s="16">
        <v>0.75</v>
      </c>
      <c r="D53" s="16">
        <v>0.85714290000000004</v>
      </c>
      <c r="E53" s="16">
        <v>0.8</v>
      </c>
      <c r="F53" s="16" t="s">
        <v>54</v>
      </c>
      <c r="G53" s="11"/>
      <c r="I53" s="8"/>
      <c r="J53" s="8"/>
      <c r="K53" s="8"/>
      <c r="L53" s="8"/>
      <c r="M53" s="8"/>
      <c r="O53" s="27"/>
      <c r="P53" s="5"/>
      <c r="Q53" s="28"/>
      <c r="S53" s="8"/>
    </row>
    <row r="54" spans="2:19" x14ac:dyDescent="0.2">
      <c r="B54" s="16">
        <v>0.61102400000000001</v>
      </c>
      <c r="C54" s="16">
        <v>1</v>
      </c>
      <c r="D54" s="16">
        <v>0.625</v>
      </c>
      <c r="E54" s="16">
        <v>0.76923079999999999</v>
      </c>
      <c r="F54" s="16" t="s">
        <v>39</v>
      </c>
      <c r="G54" s="11"/>
      <c r="I54" s="8"/>
      <c r="J54" s="8"/>
      <c r="K54" s="8"/>
      <c r="L54" s="8"/>
      <c r="M54" s="8"/>
      <c r="O54" s="27"/>
      <c r="P54" s="5"/>
      <c r="Q54" s="28"/>
      <c r="S54" s="8"/>
    </row>
    <row r="55" spans="2:19" x14ac:dyDescent="0.2">
      <c r="B55" s="16">
        <v>0.49808449999999999</v>
      </c>
      <c r="C55" s="16">
        <v>0.45454549999999999</v>
      </c>
      <c r="D55" s="16">
        <v>0.71428570000000002</v>
      </c>
      <c r="E55" s="16">
        <v>0.55555560000000004</v>
      </c>
      <c r="F55" s="16" t="s">
        <v>55</v>
      </c>
      <c r="G55" s="11"/>
      <c r="H55" s="2"/>
      <c r="I55" s="8"/>
      <c r="J55" s="8"/>
      <c r="K55" s="8"/>
      <c r="L55" s="8"/>
      <c r="M55" s="8"/>
      <c r="O55" s="27"/>
      <c r="P55" s="5"/>
      <c r="Q55" s="28"/>
      <c r="S55" s="8"/>
    </row>
    <row r="56" spans="2:19" x14ac:dyDescent="0.2">
      <c r="B56" s="16">
        <v>0.49016660000000001</v>
      </c>
      <c r="C56" s="16">
        <v>0.5</v>
      </c>
      <c r="D56" s="16">
        <v>0.57142859999999995</v>
      </c>
      <c r="E56" s="16">
        <v>0.53333330000000001</v>
      </c>
      <c r="F56" s="16" t="s">
        <v>51</v>
      </c>
      <c r="G56" s="11"/>
      <c r="H56" s="2"/>
      <c r="I56" s="8"/>
      <c r="J56" s="8"/>
      <c r="K56" s="8"/>
      <c r="L56" s="8"/>
      <c r="M56" s="8"/>
      <c r="O56" s="27"/>
      <c r="P56" s="5"/>
      <c r="Q56" s="28"/>
      <c r="S56" s="8"/>
    </row>
    <row r="57" spans="2:19" x14ac:dyDescent="0.2">
      <c r="B57" s="16">
        <v>0.54045010000000004</v>
      </c>
      <c r="C57" s="16">
        <v>0.6</v>
      </c>
      <c r="D57" s="16">
        <v>0.75</v>
      </c>
      <c r="E57" s="16">
        <v>0.66666669999999995</v>
      </c>
      <c r="F57" s="16" t="s">
        <v>48</v>
      </c>
      <c r="G57" s="11"/>
      <c r="H57" s="2"/>
      <c r="I57" s="8"/>
      <c r="J57" s="8"/>
      <c r="K57" s="8"/>
      <c r="L57" s="8"/>
      <c r="M57" s="8"/>
      <c r="O57" s="27"/>
      <c r="P57" s="5"/>
      <c r="Q57" s="28"/>
      <c r="S57" s="8"/>
    </row>
    <row r="58" spans="2:19" x14ac:dyDescent="0.2">
      <c r="B58" s="16">
        <v>0.58205150000000005</v>
      </c>
      <c r="C58" s="16">
        <v>0.6</v>
      </c>
      <c r="D58" s="16">
        <v>0.75</v>
      </c>
      <c r="E58" s="16">
        <v>0.66666669999999995</v>
      </c>
      <c r="F58" s="16" t="s">
        <v>52</v>
      </c>
      <c r="G58" s="11"/>
      <c r="H58" s="2"/>
      <c r="I58" s="8"/>
      <c r="J58" s="8"/>
      <c r="K58" s="8"/>
      <c r="L58" s="8"/>
      <c r="M58" s="8"/>
      <c r="O58" s="27"/>
      <c r="P58" s="5"/>
      <c r="Q58" s="28"/>
      <c r="S58" s="8"/>
    </row>
    <row r="59" spans="2:19" x14ac:dyDescent="0.2">
      <c r="B59" s="16">
        <v>0.56289769999999995</v>
      </c>
      <c r="C59" s="16">
        <v>0.5</v>
      </c>
      <c r="D59" s="16">
        <v>0.71428570000000002</v>
      </c>
      <c r="E59" s="16">
        <v>0.58823530000000002</v>
      </c>
      <c r="F59" s="16" t="s">
        <v>62</v>
      </c>
      <c r="G59" s="11"/>
      <c r="H59" s="2"/>
      <c r="I59" s="8"/>
      <c r="J59" s="8"/>
      <c r="K59" s="8"/>
      <c r="L59" s="8"/>
      <c r="M59" s="8"/>
      <c r="O59" s="27"/>
      <c r="P59" s="5"/>
      <c r="Q59" s="28"/>
      <c r="S59" s="8"/>
    </row>
    <row r="60" spans="2:19" x14ac:dyDescent="0.2">
      <c r="B60" s="16">
        <v>0.4998977</v>
      </c>
      <c r="C60" s="16">
        <v>0.45454549999999999</v>
      </c>
      <c r="D60" s="16">
        <v>0.71428570000000002</v>
      </c>
      <c r="E60" s="16">
        <v>0.55555560000000004</v>
      </c>
      <c r="F60" s="16" t="s">
        <v>45</v>
      </c>
      <c r="G60" s="11"/>
      <c r="H60" s="2"/>
      <c r="I60" s="8"/>
      <c r="O60" s="27"/>
      <c r="P60" s="5"/>
      <c r="Q60" s="28"/>
      <c r="S60" s="8"/>
    </row>
    <row r="61" spans="2:19" x14ac:dyDescent="0.2">
      <c r="B61" s="16">
        <v>0.36005340000000002</v>
      </c>
      <c r="C61" s="16">
        <v>0.42857139999999999</v>
      </c>
      <c r="D61" s="16">
        <v>0.42857139999999999</v>
      </c>
      <c r="E61" s="16">
        <v>0.42857139999999999</v>
      </c>
      <c r="F61" s="16" t="s">
        <v>41</v>
      </c>
      <c r="G61" s="11"/>
      <c r="H61" s="2"/>
      <c r="P61" s="5"/>
      <c r="Q61" s="28"/>
      <c r="S61" s="8"/>
    </row>
    <row r="62" spans="2:19" x14ac:dyDescent="0.2">
      <c r="B62" s="16">
        <v>0.42145739999999998</v>
      </c>
      <c r="C62" s="16">
        <v>0.5</v>
      </c>
      <c r="D62" s="16">
        <v>0.71428570000000002</v>
      </c>
      <c r="E62" s="16">
        <v>0.58823530000000002</v>
      </c>
      <c r="F62" s="16" t="s">
        <v>59</v>
      </c>
      <c r="G62" s="11"/>
      <c r="H62" s="2"/>
      <c r="P62" s="5"/>
      <c r="Q62" s="28"/>
      <c r="S62" s="8"/>
    </row>
    <row r="63" spans="2:19" x14ac:dyDescent="0.2">
      <c r="B63" s="16">
        <v>0.46732970000000001</v>
      </c>
      <c r="C63" s="16">
        <v>0.625</v>
      </c>
      <c r="D63" s="16">
        <v>0.71428570000000002</v>
      </c>
      <c r="E63" s="16">
        <v>0.66666669999999995</v>
      </c>
      <c r="F63" s="16" t="s">
        <v>42</v>
      </c>
      <c r="G63" s="11"/>
      <c r="H63" s="10"/>
      <c r="S63" s="8"/>
    </row>
    <row r="64" spans="2:19" x14ac:dyDescent="0.2">
      <c r="B64" s="16">
        <v>0.54386469999999998</v>
      </c>
      <c r="C64" s="16">
        <v>0.54545449999999995</v>
      </c>
      <c r="D64" s="16">
        <v>0.85714290000000004</v>
      </c>
      <c r="E64" s="16">
        <v>0.66666669999999995</v>
      </c>
      <c r="F64" s="16" t="s">
        <v>43</v>
      </c>
      <c r="G64" s="11"/>
      <c r="H64" s="10"/>
      <c r="S64" s="8"/>
    </row>
    <row r="65" spans="2:19" x14ac:dyDescent="0.2">
      <c r="B65" s="16">
        <v>0.45401360000000002</v>
      </c>
      <c r="C65" s="16">
        <v>0.6</v>
      </c>
      <c r="D65" s="16">
        <v>0.85714290000000004</v>
      </c>
      <c r="E65" s="16">
        <v>0.70588240000000002</v>
      </c>
      <c r="F65" s="16" t="s">
        <v>58</v>
      </c>
      <c r="G65" s="11"/>
      <c r="H65" s="5"/>
      <c r="O65" s="27"/>
      <c r="P65" s="5"/>
      <c r="Q65" s="28"/>
      <c r="R65" s="8"/>
      <c r="S65" s="8"/>
    </row>
    <row r="66" spans="2:19" x14ac:dyDescent="0.2">
      <c r="B66" s="16">
        <v>0.5201848</v>
      </c>
      <c r="C66" s="16">
        <v>0.5</v>
      </c>
      <c r="D66" s="16">
        <v>0.57142859999999995</v>
      </c>
      <c r="E66" s="16">
        <v>0.53333330000000001</v>
      </c>
      <c r="F66" s="16" t="s">
        <v>40</v>
      </c>
      <c r="G66" s="11"/>
      <c r="H66" s="5"/>
      <c r="S66" s="8"/>
    </row>
    <row r="67" spans="2:19" x14ac:dyDescent="0.2">
      <c r="B67" s="16">
        <v>0.53081809999999996</v>
      </c>
      <c r="C67" s="16">
        <v>0.54545449999999995</v>
      </c>
      <c r="D67" s="16">
        <v>0.85714290000000004</v>
      </c>
      <c r="E67" s="16">
        <v>0.66666669999999995</v>
      </c>
      <c r="F67" s="16" t="s">
        <v>49</v>
      </c>
      <c r="G67" s="11"/>
      <c r="S67" s="8"/>
    </row>
    <row r="68" spans="2:19" x14ac:dyDescent="0.2">
      <c r="B68" s="16">
        <v>0.59717719999999996</v>
      </c>
      <c r="C68" s="16">
        <v>0.6</v>
      </c>
      <c r="D68" s="16">
        <v>0.42857139999999999</v>
      </c>
      <c r="E68" s="16">
        <v>0.5</v>
      </c>
      <c r="F68" s="16" t="s">
        <v>50</v>
      </c>
      <c r="G68" s="11"/>
      <c r="O68" s="18"/>
      <c r="P68" s="19"/>
      <c r="Q68" s="28"/>
      <c r="R68" s="19"/>
      <c r="S68" s="8"/>
    </row>
    <row r="69" spans="2:19" x14ac:dyDescent="0.2">
      <c r="B69" s="16">
        <v>0.40365859999999998</v>
      </c>
      <c r="C69" s="16">
        <v>0.4375</v>
      </c>
      <c r="D69" s="16">
        <v>1</v>
      </c>
      <c r="E69" s="16">
        <v>0.60869569999999995</v>
      </c>
      <c r="F69" s="16" t="s">
        <v>46</v>
      </c>
      <c r="G69" s="11"/>
      <c r="O69" s="18"/>
      <c r="P69" s="19"/>
      <c r="Q69" s="28"/>
      <c r="S69" s="8"/>
    </row>
    <row r="70" spans="2:19" x14ac:dyDescent="0.2">
      <c r="B70" s="16">
        <v>0.56747199999999998</v>
      </c>
      <c r="C70" s="16">
        <v>0.5</v>
      </c>
      <c r="D70" s="16">
        <v>0.57142859999999995</v>
      </c>
      <c r="E70" s="16">
        <v>0.53333330000000001</v>
      </c>
      <c r="F70" s="16" t="s">
        <v>56</v>
      </c>
      <c r="G70" s="11"/>
      <c r="Q70" s="20"/>
      <c r="S70" s="19"/>
    </row>
    <row r="71" spans="2:19" x14ac:dyDescent="0.2">
      <c r="B71" s="16">
        <v>0.42226639999999999</v>
      </c>
      <c r="C71" s="16">
        <v>0.5</v>
      </c>
      <c r="D71" s="16">
        <v>0.625</v>
      </c>
      <c r="E71" s="16">
        <v>0.55555560000000004</v>
      </c>
      <c r="F71" s="16" t="s">
        <v>47</v>
      </c>
      <c r="G71" s="11"/>
      <c r="Q71" s="20"/>
      <c r="S71" s="18"/>
    </row>
  </sheetData>
  <mergeCells count="7">
    <mergeCell ref="B34:C34"/>
    <mergeCell ref="B45:F45"/>
    <mergeCell ref="B2:K2"/>
    <mergeCell ref="B4:D4"/>
    <mergeCell ref="B9:C9"/>
    <mergeCell ref="B19:D19"/>
    <mergeCell ref="B24:C2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B5FA-0B0B-4970-B4D5-63A36890E13D}">
  <dimension ref="B1:F48"/>
  <sheetViews>
    <sheetView workbookViewId="0">
      <selection activeCell="C13" sqref="C13"/>
    </sheetView>
  </sheetViews>
  <sheetFormatPr baseColWidth="10" defaultColWidth="11" defaultRowHeight="16" x14ac:dyDescent="0.2"/>
  <cols>
    <col min="1" max="1" width="1.6640625" customWidth="1"/>
    <col min="2" max="2" width="27.33203125" bestFit="1" customWidth="1"/>
    <col min="3" max="3" width="27.33203125" customWidth="1"/>
    <col min="4" max="4" width="27.33203125" bestFit="1" customWidth="1"/>
    <col min="5" max="5" width="24.5" customWidth="1"/>
    <col min="6" max="6" width="1.6640625" customWidth="1"/>
  </cols>
  <sheetData>
    <row r="1" spans="2:6" x14ac:dyDescent="0.2">
      <c r="B1" s="5"/>
      <c r="C1" s="5"/>
      <c r="D1" s="5"/>
      <c r="E1" s="5"/>
      <c r="F1" s="5"/>
    </row>
    <row r="2" spans="2:6" x14ac:dyDescent="0.2">
      <c r="B2" s="53" t="s">
        <v>188</v>
      </c>
      <c r="C2" s="53"/>
      <c r="D2" s="53"/>
      <c r="E2" s="53"/>
    </row>
    <row r="3" spans="2:6" x14ac:dyDescent="0.2">
      <c r="B3" s="6"/>
      <c r="C3" s="6"/>
      <c r="D3" s="6"/>
      <c r="E3" s="6"/>
      <c r="F3" s="6"/>
    </row>
    <row r="4" spans="2:6" x14ac:dyDescent="0.2">
      <c r="B4" s="47" t="s">
        <v>178</v>
      </c>
      <c r="C4" s="47" t="s">
        <v>193</v>
      </c>
      <c r="D4" s="5" t="s">
        <v>182</v>
      </c>
      <c r="E4" s="5">
        <f>IF('LogRidge-W'!C25="","",'LogRidge-W'!C25)</f>
        <v>0.22222</v>
      </c>
    </row>
    <row r="5" spans="2:6" x14ac:dyDescent="0.2">
      <c r="B5" s="5"/>
      <c r="D5" s="5" t="s">
        <v>183</v>
      </c>
      <c r="E5" s="5">
        <f>IF('LogRidge-W'!C26="","",'LogRidge-W'!C26)</f>
        <v>0.83784000000000003</v>
      </c>
    </row>
    <row r="6" spans="2:6" x14ac:dyDescent="0.2">
      <c r="B6" s="5"/>
      <c r="D6" s="5" t="s">
        <v>180</v>
      </c>
      <c r="E6" s="5">
        <f>IF('LogRidge-W'!C27="","",'LogRidge-W'!C27)</f>
        <v>0.25</v>
      </c>
    </row>
    <row r="7" spans="2:6" x14ac:dyDescent="0.2">
      <c r="B7" s="5"/>
      <c r="D7" s="5" t="s">
        <v>181</v>
      </c>
      <c r="E7" s="5">
        <f>IF('LogRidge-W'!C28="","",'LogRidge-W'!C28)</f>
        <v>0.81579000000000002</v>
      </c>
    </row>
    <row r="8" spans="2:6" x14ac:dyDescent="0.2">
      <c r="B8" s="5"/>
      <c r="D8" s="5" t="s">
        <v>184</v>
      </c>
      <c r="E8" s="5">
        <f>IF('LogRidge-W'!C29="","",'LogRidge-W'!C29)</f>
        <v>0.71740000000000004</v>
      </c>
    </row>
    <row r="9" spans="2:6" x14ac:dyDescent="0.2">
      <c r="B9" s="5"/>
      <c r="D9" s="5" t="s">
        <v>185</v>
      </c>
      <c r="E9" s="5">
        <f>IF('LogRidge-W'!C30="","",'LogRidge-W'!C30)</f>
        <v>0.23530000000000001</v>
      </c>
    </row>
    <row r="10" spans="2:6" x14ac:dyDescent="0.2">
      <c r="B10" s="5"/>
      <c r="D10" s="5" t="s">
        <v>28</v>
      </c>
      <c r="E10" s="5">
        <f>IF('LogRidge-W'!C31="","",'LogRidge-W'!C31)</f>
        <v>6.2899999999999998E-2</v>
      </c>
    </row>
    <row r="11" spans="2:6" x14ac:dyDescent="0.2">
      <c r="B11" s="5"/>
      <c r="D11" s="5" t="s">
        <v>186</v>
      </c>
      <c r="E11" s="5">
        <f>IF('LogRidge-W'!C32="","",'LogRidge-W'!C32)</f>
        <v>0.53003</v>
      </c>
    </row>
    <row r="12" spans="2:6" x14ac:dyDescent="0.2">
      <c r="C12" s="47" t="s">
        <v>191</v>
      </c>
      <c r="D12" s="5" t="s">
        <v>182</v>
      </c>
      <c r="E12" s="5">
        <f>IF(LogRidge!C25="","",LogRidge!C25)</f>
        <v>0.1111</v>
      </c>
    </row>
    <row r="13" spans="2:6" x14ac:dyDescent="0.2">
      <c r="C13" s="5"/>
      <c r="D13" s="5" t="s">
        <v>183</v>
      </c>
      <c r="E13" s="5">
        <f>IF(LogRidge!C26="","",LogRidge!C26)</f>
        <v>1</v>
      </c>
    </row>
    <row r="14" spans="2:6" x14ac:dyDescent="0.2">
      <c r="C14" s="5"/>
      <c r="D14" s="5" t="s">
        <v>180</v>
      </c>
      <c r="E14" s="5">
        <f>IF(LogRidge!C27="","",LogRidge!C27)</f>
        <v>1</v>
      </c>
    </row>
    <row r="15" spans="2:6" x14ac:dyDescent="0.2">
      <c r="C15" s="5"/>
      <c r="D15" s="5" t="s">
        <v>181</v>
      </c>
      <c r="E15" s="5">
        <f>IF(LogRidge!C28="","",LogRidge!C28)</f>
        <v>0.82220000000000004</v>
      </c>
    </row>
    <row r="16" spans="2:6" x14ac:dyDescent="0.2">
      <c r="C16" s="5"/>
      <c r="D16" s="5" t="s">
        <v>184</v>
      </c>
      <c r="E16" s="5">
        <f>IF(LogRidge!C29="","",LogRidge!C29)</f>
        <v>0.82609999999999995</v>
      </c>
    </row>
    <row r="17" spans="2:5" x14ac:dyDescent="0.2">
      <c r="C17" s="5"/>
      <c r="D17" s="5" t="s">
        <v>185</v>
      </c>
      <c r="E17" s="5">
        <f>IF(LogRidge!C30="","",LogRidge!C30)</f>
        <v>0.2</v>
      </c>
    </row>
    <row r="18" spans="2:5" x14ac:dyDescent="0.2">
      <c r="C18" s="5"/>
      <c r="D18" s="5" t="s">
        <v>28</v>
      </c>
      <c r="E18" s="5">
        <f>IF(LogRidge!C31="","",LogRidge!C31)</f>
        <v>0.30225000000000002</v>
      </c>
    </row>
    <row r="19" spans="2:5" x14ac:dyDescent="0.2">
      <c r="C19" s="5"/>
      <c r="D19" s="5" t="s">
        <v>186</v>
      </c>
      <c r="E19" s="5">
        <f>IF(LogRidge!C32="","",LogRidge!C32)</f>
        <v>0.55559999999999998</v>
      </c>
    </row>
    <row r="20" spans="2:5" x14ac:dyDescent="0.2">
      <c r="B20" t="s">
        <v>177</v>
      </c>
      <c r="C20" s="47" t="s">
        <v>193</v>
      </c>
      <c r="D20" s="5" t="s">
        <v>182</v>
      </c>
      <c r="E20" s="5">
        <f>IF('LogRidge-W'!C10="","",'LogRidge-W'!C10)</f>
        <v>0.77780000000000005</v>
      </c>
    </row>
    <row r="21" spans="2:5" x14ac:dyDescent="0.2">
      <c r="D21" s="5" t="s">
        <v>183</v>
      </c>
      <c r="E21" s="5">
        <f>IF('LogRidge-W'!C11="","",'LogRidge-W'!C11)</f>
        <v>0.86580000000000001</v>
      </c>
    </row>
    <row r="22" spans="2:5" x14ac:dyDescent="0.2">
      <c r="D22" s="5" t="s">
        <v>180</v>
      </c>
      <c r="E22" s="5">
        <f>IF('LogRidge-W'!C12="","",'LogRidge-W'!C12)</f>
        <v>0.58330000000000004</v>
      </c>
    </row>
    <row r="23" spans="2:5" x14ac:dyDescent="0.2">
      <c r="D23" s="5" t="s">
        <v>181</v>
      </c>
      <c r="E23" s="5">
        <f>IF('LogRidge-W'!C13="","",'LogRidge-W'!C13)</f>
        <v>0.94159999999999999</v>
      </c>
    </row>
    <row r="24" spans="2:5" x14ac:dyDescent="0.2">
      <c r="B24" s="6"/>
      <c r="D24" s="5" t="s">
        <v>184</v>
      </c>
      <c r="E24" s="5">
        <f>IF('LogRidge-W'!C14="","",'LogRidge-W'!C14)</f>
        <v>0.84860000000000002</v>
      </c>
    </row>
    <row r="25" spans="2:5" x14ac:dyDescent="0.2">
      <c r="D25" s="5" t="s">
        <v>185</v>
      </c>
      <c r="E25" s="5">
        <f>IF('LogRidge-W'!C15="","",'LogRidge-W'!C15)</f>
        <v>0.66669999999999996</v>
      </c>
    </row>
    <row r="26" spans="2:5" x14ac:dyDescent="0.2">
      <c r="D26" s="5" t="s">
        <v>28</v>
      </c>
      <c r="E26" s="5">
        <f>IF('LogRidge-W'!C16="","",'LogRidge-W'!C16)</f>
        <v>0.58120000000000005</v>
      </c>
    </row>
    <row r="27" spans="2:5" x14ac:dyDescent="0.2">
      <c r="D27" s="5" t="s">
        <v>186</v>
      </c>
      <c r="E27" s="5">
        <f>IF('LogRidge-W'!C17="","",'LogRidge-W'!C17)</f>
        <v>0.82179999999999997</v>
      </c>
    </row>
    <row r="28" spans="2:5" x14ac:dyDescent="0.2">
      <c r="C28" s="47" t="s">
        <v>191</v>
      </c>
      <c r="D28" s="5" t="s">
        <v>182</v>
      </c>
      <c r="E28" s="5">
        <f>IF(LogRidge!C10="","",LogRidge!C10)</f>
        <v>0.41666999999999998</v>
      </c>
    </row>
    <row r="29" spans="2:5" x14ac:dyDescent="0.2">
      <c r="C29" s="5"/>
      <c r="D29" s="5" t="s">
        <v>183</v>
      </c>
      <c r="E29" s="5">
        <f>IF(LogRidge!C11="","",LogRidge!C11)</f>
        <v>0.98658000000000001</v>
      </c>
    </row>
    <row r="30" spans="2:5" x14ac:dyDescent="0.2">
      <c r="C30" s="5"/>
      <c r="D30" s="5" t="s">
        <v>180</v>
      </c>
      <c r="E30" s="5">
        <f>IF(LogRidge!C12="","",LogRidge!C12)</f>
        <v>0.88234999999999997</v>
      </c>
    </row>
    <row r="31" spans="2:5" x14ac:dyDescent="0.2">
      <c r="C31" s="5"/>
      <c r="D31" s="5" t="s">
        <v>181</v>
      </c>
      <c r="E31" s="5">
        <f>IF(LogRidge!C13="","",LogRidge!C13)</f>
        <v>0.875</v>
      </c>
    </row>
    <row r="32" spans="2:5" x14ac:dyDescent="0.2">
      <c r="C32" s="5"/>
      <c r="D32" s="5" t="s">
        <v>184</v>
      </c>
      <c r="E32" s="5">
        <f>IF(LogRidge!C14="","",LogRidge!C14)</f>
        <v>0.87570000000000003</v>
      </c>
    </row>
    <row r="33" spans="3:5" x14ac:dyDescent="0.2">
      <c r="C33" s="5"/>
      <c r="D33" s="5" t="s">
        <v>185</v>
      </c>
      <c r="E33" s="5">
        <f>IF(LogRidge!C15="","",LogRidge!C15)</f>
        <v>0.56599999999999995</v>
      </c>
    </row>
    <row r="34" spans="3:5" x14ac:dyDescent="0.2">
      <c r="C34" s="5"/>
      <c r="D34" s="5" t="s">
        <v>28</v>
      </c>
      <c r="E34" s="5">
        <f>IF(LogRidge!C16="","",LogRidge!C16)</f>
        <v>0.55259999999999998</v>
      </c>
    </row>
    <row r="35" spans="3:5" x14ac:dyDescent="0.2">
      <c r="C35" s="5"/>
      <c r="D35" s="5" t="s">
        <v>186</v>
      </c>
      <c r="E35" s="5">
        <f>IF(LogRidge!C17="","",LogRidge!C17)</f>
        <v>0.70162000000000002</v>
      </c>
    </row>
    <row r="36" spans="3:5" x14ac:dyDescent="0.2">
      <c r="C36" s="5"/>
      <c r="D36" s="5"/>
      <c r="E36" s="5"/>
    </row>
    <row r="37" spans="3:5" x14ac:dyDescent="0.2">
      <c r="C37" s="5"/>
      <c r="D37" s="5"/>
      <c r="E37" s="5"/>
    </row>
    <row r="38" spans="3:5" x14ac:dyDescent="0.2">
      <c r="C38" s="5"/>
      <c r="D38" s="5"/>
      <c r="E38" s="5"/>
    </row>
    <row r="39" spans="3:5" x14ac:dyDescent="0.2">
      <c r="C39" s="5"/>
      <c r="D39" s="5"/>
      <c r="E39" s="5"/>
    </row>
    <row r="40" spans="3:5" x14ac:dyDescent="0.2">
      <c r="C40" s="5"/>
      <c r="D40" s="5"/>
      <c r="E40" s="5"/>
    </row>
    <row r="41" spans="3:5" x14ac:dyDescent="0.2">
      <c r="D41" s="5"/>
      <c r="E41" s="5"/>
    </row>
    <row r="42" spans="3:5" x14ac:dyDescent="0.2">
      <c r="D42" s="5"/>
      <c r="E42" s="5"/>
    </row>
    <row r="43" spans="3:5" x14ac:dyDescent="0.2">
      <c r="D43" s="5"/>
      <c r="E43" s="5"/>
    </row>
    <row r="44" spans="3:5" x14ac:dyDescent="0.2">
      <c r="D44" s="5"/>
      <c r="E44" s="5"/>
    </row>
    <row r="45" spans="3:5" x14ac:dyDescent="0.2">
      <c r="D45" s="5"/>
      <c r="E45" s="5"/>
    </row>
    <row r="46" spans="3:5" x14ac:dyDescent="0.2">
      <c r="D46" s="5"/>
      <c r="E46" s="5"/>
    </row>
    <row r="47" spans="3:5" x14ac:dyDescent="0.2">
      <c r="D47" s="5"/>
      <c r="E47" s="5"/>
    </row>
    <row r="48" spans="3:5" x14ac:dyDescent="0.2">
      <c r="D48" s="5"/>
      <c r="E48" s="5"/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0771-C6D2-4240-8534-5C1EACD9E110}">
  <sheetPr>
    <tabColor theme="4" tint="0.79998168889431442"/>
  </sheetPr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0568-51ED-5349-AF47-B869C2269CF5}">
  <dimension ref="B1:X76"/>
  <sheetViews>
    <sheetView topLeftCell="N1" zoomScale="66" zoomScaleNormal="100" workbookViewId="0">
      <selection activeCell="R6" sqref="R6:U40"/>
    </sheetView>
  </sheetViews>
  <sheetFormatPr baseColWidth="10" defaultColWidth="11" defaultRowHeight="16" x14ac:dyDescent="0.2"/>
  <cols>
    <col min="1" max="1" width="4.5" customWidth="1"/>
    <col min="2" max="2" width="13.83203125" customWidth="1"/>
    <col min="3" max="4" width="12.5" customWidth="1"/>
    <col min="5" max="5" width="13" customWidth="1"/>
    <col min="6" max="6" width="28.83203125" customWidth="1"/>
    <col min="7" max="7" width="13.33203125" bestFit="1" customWidth="1"/>
    <col min="8" max="8" width="17.33203125" customWidth="1"/>
    <col min="9" max="9" width="13.5" customWidth="1"/>
    <col min="10" max="10" width="25.6640625" customWidth="1"/>
    <col min="11" max="11" width="3.6640625" customWidth="1"/>
    <col min="12" max="12" width="28" bestFit="1" customWidth="1"/>
    <col min="13" max="13" width="16.83203125" bestFit="1" customWidth="1"/>
    <col min="14" max="14" width="22.33203125" bestFit="1" customWidth="1"/>
    <col min="15" max="15" width="3.1640625" customWidth="1"/>
    <col min="16" max="16" width="21.6640625" bestFit="1" customWidth="1"/>
    <col min="17" max="17" width="12.83203125" bestFit="1" customWidth="1"/>
    <col min="18" max="18" width="19.6640625" customWidth="1"/>
    <col min="19" max="19" width="10.1640625" bestFit="1" customWidth="1"/>
    <col min="20" max="20" width="28.33203125" bestFit="1" customWidth="1"/>
    <col min="21" max="21" width="15" bestFit="1" customWidth="1"/>
    <col min="23" max="23" width="22.5" customWidth="1"/>
    <col min="24" max="24" width="26.5" customWidth="1"/>
  </cols>
  <sheetData>
    <row r="1" spans="2:24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2:24" x14ac:dyDescent="0.2">
      <c r="B2" s="55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6"/>
    </row>
    <row r="3" spans="2:24" x14ac:dyDescent="0.2">
      <c r="B3" s="6"/>
      <c r="C3" s="6"/>
      <c r="D3" s="6"/>
      <c r="E3" s="6"/>
      <c r="F3" s="6"/>
      <c r="G3" s="6"/>
      <c r="H3" s="6"/>
      <c r="I3" s="6"/>
      <c r="J3" s="6"/>
      <c r="K3" s="5"/>
      <c r="L3" s="6"/>
      <c r="M3" s="6"/>
      <c r="N3" s="6"/>
      <c r="O3" s="6"/>
      <c r="P3" s="5"/>
      <c r="Q3" s="5"/>
      <c r="R3" s="5"/>
      <c r="S3" s="5"/>
      <c r="T3" s="5"/>
    </row>
    <row r="4" spans="2:24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5"/>
      <c r="L4" s="49" t="s">
        <v>36</v>
      </c>
      <c r="M4" s="49"/>
      <c r="N4" s="49"/>
      <c r="O4" s="6"/>
      <c r="P4" s="23" t="s">
        <v>30</v>
      </c>
      <c r="Q4" s="23" t="s">
        <v>34</v>
      </c>
      <c r="R4" s="51" t="s">
        <v>173</v>
      </c>
      <c r="S4" s="51"/>
      <c r="T4" s="13" t="s">
        <v>174</v>
      </c>
      <c r="U4" s="13" t="s">
        <v>175</v>
      </c>
      <c r="X4" s="2"/>
    </row>
    <row r="5" spans="2:24" x14ac:dyDescent="0.2">
      <c r="B5" s="9" t="s">
        <v>0</v>
      </c>
      <c r="C5" s="9" t="s">
        <v>112</v>
      </c>
      <c r="D5" s="9" t="s">
        <v>5</v>
      </c>
      <c r="E5" s="9" t="s">
        <v>6</v>
      </c>
      <c r="F5" s="9" t="s">
        <v>7</v>
      </c>
      <c r="G5" s="9" t="s">
        <v>131</v>
      </c>
      <c r="H5" s="9" t="s">
        <v>66</v>
      </c>
      <c r="I5" s="9" t="s">
        <v>67</v>
      </c>
      <c r="J5" s="9" t="s">
        <v>68</v>
      </c>
      <c r="K5" s="5"/>
      <c r="L5" s="9" t="s">
        <v>110</v>
      </c>
      <c r="M5" s="9" t="s">
        <v>10</v>
      </c>
      <c r="N5" s="9" t="s">
        <v>11</v>
      </c>
      <c r="O5" s="5"/>
      <c r="R5" s="17" t="s">
        <v>31</v>
      </c>
      <c r="S5" s="17" t="s">
        <v>32</v>
      </c>
      <c r="T5" s="17"/>
      <c r="V5" s="2"/>
      <c r="W5" s="8"/>
      <c r="X5" s="2"/>
    </row>
    <row r="6" spans="2:24" x14ac:dyDescent="0.2">
      <c r="B6" s="8">
        <v>0.01</v>
      </c>
      <c r="C6" s="8">
        <v>0.46492030000000001</v>
      </c>
      <c r="D6" s="8">
        <v>0.63</v>
      </c>
      <c r="E6" s="8">
        <v>0.35214286</v>
      </c>
      <c r="F6" s="8">
        <v>0.45320349999999998</v>
      </c>
      <c r="G6" s="8">
        <v>9.3915319999999997E-2</v>
      </c>
      <c r="H6" s="8">
        <v>0.21414130000000001</v>
      </c>
      <c r="I6" s="8">
        <v>0.19408231000000001</v>
      </c>
      <c r="J6" s="8">
        <v>0.16688934999999999</v>
      </c>
      <c r="K6" s="5"/>
      <c r="L6" s="9" t="s">
        <v>8</v>
      </c>
      <c r="M6" s="10">
        <v>15</v>
      </c>
      <c r="N6" s="10">
        <v>3</v>
      </c>
      <c r="O6" s="5"/>
      <c r="P6" s="18" t="s">
        <v>29</v>
      </c>
      <c r="Q6" s="19"/>
      <c r="R6" s="64">
        <v>100</v>
      </c>
      <c r="S6" s="64">
        <v>100</v>
      </c>
      <c r="T6" s="58">
        <v>0.189939097</v>
      </c>
      <c r="U6" s="65">
        <v>-0.167262561</v>
      </c>
      <c r="V6" s="2"/>
      <c r="X6" s="3"/>
    </row>
    <row r="7" spans="2:24" x14ac:dyDescent="0.2">
      <c r="B7" s="8">
        <v>0.1</v>
      </c>
      <c r="C7" s="8">
        <v>0.46010430000000002</v>
      </c>
      <c r="D7" s="8">
        <v>0.75</v>
      </c>
      <c r="E7" s="8">
        <v>0.19928571</v>
      </c>
      <c r="F7" s="8">
        <v>0.38056479999999998</v>
      </c>
      <c r="G7" s="8">
        <v>9.3049350000000003E-2</v>
      </c>
      <c r="H7" s="8">
        <v>0.33952579999999999</v>
      </c>
      <c r="I7" s="8">
        <v>0.15418965000000001</v>
      </c>
      <c r="J7" s="8">
        <v>0.14390520000000001</v>
      </c>
      <c r="K7" s="5"/>
      <c r="L7" s="9" t="s">
        <v>9</v>
      </c>
      <c r="M7" s="10">
        <v>21</v>
      </c>
      <c r="N7" s="10">
        <v>146</v>
      </c>
      <c r="O7" s="6"/>
      <c r="P7" s="18" t="s">
        <v>78</v>
      </c>
      <c r="Q7" s="19"/>
      <c r="R7" s="64">
        <v>62.447786000000001</v>
      </c>
      <c r="S7" s="64">
        <v>62.447786000000001</v>
      </c>
      <c r="T7" s="58">
        <v>2.2145714E-2</v>
      </c>
      <c r="U7" s="65">
        <v>-5.3942860000000002E-2</v>
      </c>
      <c r="V7" s="2"/>
      <c r="W7" s="2"/>
      <c r="X7" s="3"/>
    </row>
    <row r="8" spans="2:24" x14ac:dyDescent="0.2">
      <c r="B8" s="8">
        <v>0.5</v>
      </c>
      <c r="C8" s="8">
        <v>0.45667950000000002</v>
      </c>
      <c r="D8" s="8">
        <v>0.82222220000000001</v>
      </c>
      <c r="E8" s="8">
        <v>0.12</v>
      </c>
      <c r="F8" s="8">
        <v>0.33676050000000002</v>
      </c>
      <c r="G8" s="8">
        <v>8.5778460000000001E-2</v>
      </c>
      <c r="H8" s="8">
        <v>0.29858570000000001</v>
      </c>
      <c r="I8" s="8">
        <v>0.12420239</v>
      </c>
      <c r="J8" s="8">
        <v>0.10972723</v>
      </c>
      <c r="K8" s="5"/>
      <c r="L8" s="5"/>
      <c r="M8" s="5"/>
      <c r="N8" s="5"/>
      <c r="O8" s="5"/>
      <c r="P8" s="18" t="s">
        <v>79</v>
      </c>
      <c r="Q8" s="19"/>
      <c r="R8" s="64">
        <v>70.634921000000006</v>
      </c>
      <c r="S8" s="64">
        <v>70.634921000000006</v>
      </c>
      <c r="T8" s="58">
        <v>-7.1994499999999996E-3</v>
      </c>
      <c r="U8" s="65">
        <v>-4.9173373999999999E-2</v>
      </c>
      <c r="V8" s="2"/>
      <c r="W8" s="2"/>
      <c r="X8" s="3"/>
    </row>
    <row r="9" spans="2:24" x14ac:dyDescent="0.2">
      <c r="B9" s="8">
        <v>1</v>
      </c>
      <c r="C9" s="8">
        <v>0.44621179999999999</v>
      </c>
      <c r="D9" s="8">
        <v>0.76923079999999999</v>
      </c>
      <c r="E9" s="8">
        <v>0.105</v>
      </c>
      <c r="F9" s="8">
        <v>0.32840910000000001</v>
      </c>
      <c r="G9" s="8">
        <v>9.1814270000000003E-2</v>
      </c>
      <c r="H9" s="8">
        <v>0.32122780000000001</v>
      </c>
      <c r="I9" s="8">
        <v>0.13485</v>
      </c>
      <c r="J9" s="8">
        <v>0.12552108000000001</v>
      </c>
      <c r="K9" s="5"/>
      <c r="L9" s="51" t="s">
        <v>70</v>
      </c>
      <c r="M9" s="51"/>
      <c r="N9" s="5" t="s">
        <v>37</v>
      </c>
      <c r="O9" s="5"/>
      <c r="P9" s="18" t="s">
        <v>80</v>
      </c>
      <c r="Q9" s="19"/>
      <c r="R9" s="64">
        <v>69.507101000000006</v>
      </c>
      <c r="S9" s="64">
        <v>69.507101000000006</v>
      </c>
      <c r="T9" s="58">
        <v>1.7453146999999999E-2</v>
      </c>
      <c r="U9" s="65">
        <v>-5.0684413999999997E-2</v>
      </c>
      <c r="V9" s="2"/>
      <c r="W9" s="2"/>
      <c r="X9" s="3"/>
    </row>
    <row r="10" spans="2:24" x14ac:dyDescent="0.2">
      <c r="B10" s="8">
        <v>2</v>
      </c>
      <c r="C10" s="8">
        <v>0.44503819999999999</v>
      </c>
      <c r="D10" s="8">
        <v>0.71875</v>
      </c>
      <c r="E10" s="8">
        <v>6.1428570000000002E-2</v>
      </c>
      <c r="F10" s="8">
        <v>0.38905719999999999</v>
      </c>
      <c r="G10" s="8">
        <v>9.4487699999999994E-2</v>
      </c>
      <c r="H10" s="8">
        <v>0.45193040000000001</v>
      </c>
      <c r="I10" s="8">
        <v>0.12177821</v>
      </c>
      <c r="J10" s="8">
        <v>0.11780423</v>
      </c>
      <c r="K10" s="5"/>
      <c r="L10" s="5" t="s">
        <v>22</v>
      </c>
      <c r="M10" s="5">
        <v>0.41666999999999998</v>
      </c>
      <c r="N10" s="5"/>
      <c r="O10" s="5"/>
      <c r="P10" s="18" t="s">
        <v>81</v>
      </c>
      <c r="Q10" s="19"/>
      <c r="R10" s="64">
        <v>66.583123999999998</v>
      </c>
      <c r="S10" s="64">
        <v>66.583123999999998</v>
      </c>
      <c r="T10" s="58">
        <v>7.4920769999999998E-3</v>
      </c>
      <c r="U10" s="65">
        <v>-2.7120528000000001E-2</v>
      </c>
      <c r="V10" s="2"/>
      <c r="W10" s="2"/>
      <c r="X10" s="3"/>
    </row>
    <row r="11" spans="2:24" x14ac:dyDescent="0.2">
      <c r="B11" s="8">
        <v>3</v>
      </c>
      <c r="C11" s="8">
        <v>0.44343959999999999</v>
      </c>
      <c r="D11" s="8">
        <v>0.8</v>
      </c>
      <c r="E11" s="8">
        <v>2.7142860000000001E-2</v>
      </c>
      <c r="F11" s="8">
        <v>0.28749999999999998</v>
      </c>
      <c r="G11" s="8">
        <v>9.5963380000000001E-2</v>
      </c>
      <c r="H11" s="8">
        <v>0.44721359999999999</v>
      </c>
      <c r="I11" s="8">
        <v>6.6240129999999994E-2</v>
      </c>
      <c r="J11" s="8">
        <v>7.4999999999999997E-2</v>
      </c>
      <c r="K11" s="5"/>
      <c r="L11" s="5" t="s">
        <v>21</v>
      </c>
      <c r="M11" s="5">
        <v>0.97987000000000002</v>
      </c>
      <c r="N11" s="5"/>
      <c r="O11" s="5"/>
      <c r="P11" s="18" t="s">
        <v>82</v>
      </c>
      <c r="Q11" s="19"/>
      <c r="R11" s="64">
        <v>41.436926</v>
      </c>
      <c r="S11" s="64">
        <v>41.436926</v>
      </c>
      <c r="T11" s="58">
        <v>1.5644503000000001E-2</v>
      </c>
      <c r="U11" s="65">
        <v>-6.4525657E-2</v>
      </c>
      <c r="V11" s="2"/>
      <c r="W11" s="2"/>
      <c r="X11" s="3"/>
    </row>
    <row r="12" spans="2:24" x14ac:dyDescent="0.2">
      <c r="B12" s="8">
        <v>4</v>
      </c>
      <c r="C12" s="8">
        <v>0.44233499999999998</v>
      </c>
      <c r="D12" s="8">
        <v>0.8</v>
      </c>
      <c r="E12" s="8">
        <v>2.214286E-2</v>
      </c>
      <c r="F12" s="8">
        <v>0.24305560000000001</v>
      </c>
      <c r="G12" s="8">
        <v>9.3532260000000006E-2</v>
      </c>
      <c r="H12" s="8">
        <v>0.44721359999999999</v>
      </c>
      <c r="I12" s="8">
        <v>5.1878000000000001E-2</v>
      </c>
      <c r="J12" s="8">
        <v>1.3888889999999999E-2</v>
      </c>
      <c r="K12" s="5"/>
      <c r="L12" s="5" t="s">
        <v>20</v>
      </c>
      <c r="M12" s="5">
        <v>0.83333000000000002</v>
      </c>
      <c r="N12" s="5"/>
      <c r="O12" s="5"/>
      <c r="P12" s="18" t="s">
        <v>83</v>
      </c>
      <c r="Q12" s="19"/>
      <c r="R12" s="64">
        <v>52.172097000000001</v>
      </c>
      <c r="S12" s="64">
        <v>52.172097000000001</v>
      </c>
      <c r="T12" s="58">
        <v>6.8280550000000004E-3</v>
      </c>
      <c r="U12" s="65">
        <v>3.5064316999999998E-2</v>
      </c>
      <c r="V12" s="2"/>
      <c r="W12" s="2"/>
      <c r="X12" s="3"/>
    </row>
    <row r="13" spans="2:24" x14ac:dyDescent="0.2">
      <c r="B13" s="8">
        <v>5</v>
      </c>
      <c r="C13" s="8">
        <v>0.44152960000000002</v>
      </c>
      <c r="D13" s="8">
        <v>0.94444439999999996</v>
      </c>
      <c r="E13" s="8">
        <v>3.9285710000000001E-2</v>
      </c>
      <c r="F13" s="8">
        <v>0.27037040000000001</v>
      </c>
      <c r="G13" s="8">
        <v>9.4910910000000001E-2</v>
      </c>
      <c r="H13" s="8">
        <v>0.1360828</v>
      </c>
      <c r="I13" s="8">
        <v>7.6459719999999995E-2</v>
      </c>
      <c r="J13" s="8">
        <v>6.4469979999999996E-2</v>
      </c>
      <c r="K13" s="5"/>
      <c r="L13" s="5" t="s">
        <v>19</v>
      </c>
      <c r="M13" s="5">
        <v>0.87424999999999997</v>
      </c>
      <c r="N13" s="5"/>
      <c r="O13" s="5"/>
      <c r="P13" s="18" t="s">
        <v>84</v>
      </c>
      <c r="Q13" s="19"/>
      <c r="R13" s="64">
        <v>53.592314000000002</v>
      </c>
      <c r="S13" s="64">
        <v>53.592314000000002</v>
      </c>
      <c r="T13" s="58">
        <v>3.5877451999999997E-2</v>
      </c>
      <c r="U13" s="65">
        <v>9.1466541999999998E-2</v>
      </c>
      <c r="V13" s="2"/>
      <c r="W13" s="2"/>
      <c r="X13" s="3"/>
    </row>
    <row r="14" spans="2:24" x14ac:dyDescent="0.2">
      <c r="B14" s="8">
        <v>6</v>
      </c>
      <c r="C14" s="8">
        <v>0.4448877</v>
      </c>
      <c r="D14" s="8">
        <v>0.52</v>
      </c>
      <c r="E14" s="8">
        <v>3.2142860000000002E-2</v>
      </c>
      <c r="F14" s="8">
        <v>0.38532759999999999</v>
      </c>
      <c r="G14" s="8">
        <v>9.721204E-2</v>
      </c>
      <c r="H14" s="8">
        <v>0.501996</v>
      </c>
      <c r="I14" s="8">
        <v>9.5051899999999995E-2</v>
      </c>
      <c r="J14" s="8">
        <v>0.11750842</v>
      </c>
      <c r="K14" s="5"/>
      <c r="L14" s="5" t="s">
        <v>18</v>
      </c>
      <c r="M14" s="5">
        <v>0.87029999999999996</v>
      </c>
      <c r="N14" s="5"/>
      <c r="O14" s="5"/>
      <c r="P14" s="18" t="s">
        <v>85</v>
      </c>
      <c r="Q14" s="19"/>
      <c r="R14" s="64">
        <v>49.749372999999999</v>
      </c>
      <c r="S14" s="64">
        <v>49.749372999999999</v>
      </c>
      <c r="T14" s="58">
        <v>5.3909337000000002E-2</v>
      </c>
      <c r="U14" s="65">
        <v>-9.1317213999999994E-2</v>
      </c>
      <c r="V14" s="2"/>
      <c r="W14" s="2"/>
      <c r="X14" s="3"/>
    </row>
    <row r="15" spans="2:24" x14ac:dyDescent="0.2">
      <c r="B15" s="8">
        <v>7</v>
      </c>
      <c r="C15" s="8">
        <v>0.44279499999999999</v>
      </c>
      <c r="D15" s="8">
        <v>0.66666669999999995</v>
      </c>
      <c r="E15" s="8">
        <v>2.1428570000000001E-2</v>
      </c>
      <c r="F15" s="8">
        <v>0.42222219999999999</v>
      </c>
      <c r="G15" s="8">
        <v>9.7992380000000004E-2</v>
      </c>
      <c r="H15" s="8">
        <v>0.57735029999999998</v>
      </c>
      <c r="I15" s="8">
        <v>7.4345209999999995E-2</v>
      </c>
      <c r="J15" s="8">
        <v>3.1426969999999999E-2</v>
      </c>
      <c r="K15" s="5"/>
      <c r="L15" s="5" t="s">
        <v>17</v>
      </c>
      <c r="M15" s="5">
        <v>0.55559999999999998</v>
      </c>
      <c r="N15" s="5"/>
      <c r="O15" s="5"/>
      <c r="P15" s="18" t="s">
        <v>86</v>
      </c>
      <c r="Q15" s="19"/>
      <c r="R15" s="64">
        <v>49.081035999999997</v>
      </c>
      <c r="S15" s="64">
        <v>49.081035999999997</v>
      </c>
      <c r="T15" s="58">
        <v>2.1497249999999999E-3</v>
      </c>
      <c r="U15" s="65">
        <v>-5.2360038999999997E-2</v>
      </c>
      <c r="V15" s="2"/>
      <c r="W15" s="2"/>
      <c r="X15" s="3"/>
    </row>
    <row r="16" spans="2:24" x14ac:dyDescent="0.2">
      <c r="B16" s="8">
        <v>8</v>
      </c>
      <c r="C16" s="8">
        <v>0.44268049999999998</v>
      </c>
      <c r="D16" s="8">
        <v>1</v>
      </c>
      <c r="E16" s="8">
        <v>1.642857E-2</v>
      </c>
      <c r="F16" s="8">
        <v>0.3333333</v>
      </c>
      <c r="G16" s="8">
        <v>9.7359550000000003E-2</v>
      </c>
      <c r="H16" s="8">
        <v>0</v>
      </c>
      <c r="I16" s="8">
        <v>6.1410569999999998E-2</v>
      </c>
      <c r="J16" s="8">
        <v>0.15713484</v>
      </c>
      <c r="K16" s="5"/>
      <c r="L16" s="5" t="s">
        <v>28</v>
      </c>
      <c r="M16" s="5">
        <v>0.52969999999999995</v>
      </c>
      <c r="N16" s="5"/>
      <c r="O16" s="5"/>
      <c r="P16" s="18" t="s">
        <v>87</v>
      </c>
      <c r="Q16" s="19"/>
      <c r="R16" s="64">
        <v>40.643275000000003</v>
      </c>
      <c r="S16" s="64">
        <v>40.643275000000003</v>
      </c>
      <c r="T16" s="58">
        <v>-1.0906550000000001E-3</v>
      </c>
      <c r="U16" s="65">
        <v>6.5871020000000001E-3</v>
      </c>
      <c r="V16" s="2"/>
      <c r="W16" s="2"/>
      <c r="X16" s="3"/>
    </row>
    <row r="17" spans="2:24" x14ac:dyDescent="0.2">
      <c r="B17" s="8">
        <v>9</v>
      </c>
      <c r="C17" s="8">
        <v>0.43972489999999997</v>
      </c>
      <c r="D17" s="8">
        <v>0.66666669999999995</v>
      </c>
      <c r="E17" s="8">
        <v>2.1428570000000001E-2</v>
      </c>
      <c r="F17" s="8">
        <v>0.42222219999999999</v>
      </c>
      <c r="G17" s="8">
        <v>9.5726439999999996E-2</v>
      </c>
      <c r="H17" s="8">
        <v>0.57735029999999998</v>
      </c>
      <c r="I17" s="8">
        <v>7.4345209999999995E-2</v>
      </c>
      <c r="J17" s="8">
        <v>3.1426969999999999E-2</v>
      </c>
      <c r="K17" s="5"/>
      <c r="L17" s="5" t="s">
        <v>33</v>
      </c>
      <c r="M17" s="5">
        <v>0.69826999999999995</v>
      </c>
      <c r="N17" s="5"/>
      <c r="O17" s="5"/>
      <c r="P17" s="18" t="s">
        <v>88</v>
      </c>
      <c r="Q17" s="19"/>
      <c r="R17" s="66">
        <v>41.645780999999999</v>
      </c>
      <c r="S17" s="64">
        <v>41.645780999999999</v>
      </c>
      <c r="T17" s="58">
        <v>-3.9559640000000002E-3</v>
      </c>
      <c r="U17" s="65">
        <v>1.1574450999999999E-2</v>
      </c>
      <c r="V17" s="2"/>
      <c r="W17" s="2"/>
      <c r="X17" s="3"/>
    </row>
    <row r="18" spans="2:24" x14ac:dyDescent="0.2">
      <c r="B18" s="8">
        <v>10</v>
      </c>
      <c r="C18" s="8">
        <v>0.44056840000000003</v>
      </c>
      <c r="D18" s="8">
        <v>0.65</v>
      </c>
      <c r="E18" s="8">
        <v>3.2142860000000002E-2</v>
      </c>
      <c r="F18" s="8">
        <v>0.38532759999999999</v>
      </c>
      <c r="G18" s="8">
        <v>9.6630809999999998E-2</v>
      </c>
      <c r="H18" s="8">
        <v>0.47258159999999999</v>
      </c>
      <c r="I18" s="8">
        <v>9.5051899999999995E-2</v>
      </c>
      <c r="J18" s="8">
        <v>0.11750842</v>
      </c>
      <c r="K18" s="5"/>
      <c r="L18" s="5"/>
      <c r="M18" s="5"/>
      <c r="N18" s="5"/>
      <c r="O18" s="5"/>
      <c r="P18" s="18" t="s">
        <v>122</v>
      </c>
      <c r="Q18" s="19"/>
      <c r="R18" s="66"/>
      <c r="S18" s="64"/>
      <c r="T18" s="58">
        <v>8.1654499999999994E-3</v>
      </c>
      <c r="U18" s="58"/>
      <c r="V18" s="2"/>
      <c r="W18" s="2"/>
      <c r="X18" s="3"/>
    </row>
    <row r="19" spans="2:24" x14ac:dyDescent="0.2">
      <c r="K19" s="5"/>
      <c r="L19" s="49" t="s">
        <v>35</v>
      </c>
      <c r="M19" s="49"/>
      <c r="N19" s="49"/>
      <c r="O19" s="5"/>
      <c r="P19" s="18" t="s">
        <v>89</v>
      </c>
      <c r="Q19" s="19"/>
      <c r="R19" s="66">
        <v>55.096074000000002</v>
      </c>
      <c r="S19" s="64">
        <v>55.096074000000002</v>
      </c>
      <c r="T19" s="64"/>
      <c r="U19" s="65">
        <v>-4.3418268000000003E-2</v>
      </c>
      <c r="V19" s="2"/>
      <c r="W19" s="2"/>
      <c r="X19" s="3"/>
    </row>
    <row r="20" spans="2:24" x14ac:dyDescent="0.2">
      <c r="B20" s="49" t="s">
        <v>108</v>
      </c>
      <c r="C20" s="49"/>
      <c r="D20" s="49"/>
      <c r="E20" s="49"/>
      <c r="F20" s="49"/>
      <c r="G20" s="6"/>
      <c r="H20" s="12" t="s">
        <v>13</v>
      </c>
      <c r="I20" s="5"/>
      <c r="J20" s="12" t="s">
        <v>12</v>
      </c>
      <c r="K20" s="5"/>
      <c r="L20" s="9" t="s">
        <v>110</v>
      </c>
      <c r="M20" s="9" t="s">
        <v>10</v>
      </c>
      <c r="N20" s="9" t="s">
        <v>11</v>
      </c>
      <c r="O20" s="5"/>
      <c r="P20" s="18" t="s">
        <v>123</v>
      </c>
      <c r="Q20" s="19"/>
      <c r="R20" s="66"/>
      <c r="S20" s="64"/>
      <c r="T20" s="58">
        <v>3.7876047000000003E-2</v>
      </c>
      <c r="U20" s="58"/>
      <c r="V20" s="2"/>
      <c r="W20" s="2"/>
      <c r="X20" s="3"/>
    </row>
    <row r="21" spans="2:24" x14ac:dyDescent="0.2">
      <c r="B21" s="5" t="s">
        <v>112</v>
      </c>
      <c r="C21" s="5" t="s">
        <v>5</v>
      </c>
      <c r="D21" s="5" t="s">
        <v>6</v>
      </c>
      <c r="E21" s="5" t="s">
        <v>7</v>
      </c>
      <c r="F21" s="5" t="s">
        <v>38</v>
      </c>
      <c r="G21" s="5"/>
      <c r="H21" s="4" t="s">
        <v>64</v>
      </c>
      <c r="I21" s="5"/>
      <c r="J21" s="4" t="s">
        <v>16</v>
      </c>
      <c r="K21" s="5"/>
      <c r="L21" s="9" t="s">
        <v>8</v>
      </c>
      <c r="M21" s="10">
        <v>2</v>
      </c>
      <c r="N21" s="10">
        <v>0</v>
      </c>
      <c r="O21" s="5"/>
      <c r="P21" s="18" t="s">
        <v>90</v>
      </c>
      <c r="Q21" s="19"/>
      <c r="R21" s="66">
        <v>44.402673</v>
      </c>
      <c r="S21" s="64">
        <v>44.402673</v>
      </c>
      <c r="T21" s="64"/>
      <c r="U21" s="65">
        <v>-3.7292129999999999E-3</v>
      </c>
      <c r="V21" s="2"/>
      <c r="W21" s="2"/>
      <c r="X21" s="3"/>
    </row>
    <row r="22" spans="2:24" x14ac:dyDescent="0.2">
      <c r="B22" s="16">
        <v>0.51561789999999996</v>
      </c>
      <c r="C22" s="16">
        <v>1</v>
      </c>
      <c r="D22" s="16">
        <v>0.28571429999999998</v>
      </c>
      <c r="E22" s="16">
        <v>0.44444440000000002</v>
      </c>
      <c r="F22" s="16" t="s">
        <v>57</v>
      </c>
      <c r="G22" s="5"/>
      <c r="H22" s="5"/>
      <c r="I22" s="5"/>
      <c r="J22" s="5"/>
      <c r="K22" s="5"/>
      <c r="L22" s="9" t="s">
        <v>9</v>
      </c>
      <c r="M22" s="10">
        <v>7</v>
      </c>
      <c r="N22" s="10">
        <v>37</v>
      </c>
      <c r="O22" s="5"/>
      <c r="P22" s="18" t="s">
        <v>91</v>
      </c>
      <c r="Q22" s="19"/>
      <c r="R22" s="66">
        <v>38.930660000000003</v>
      </c>
      <c r="S22" s="64">
        <v>38.930660000000003</v>
      </c>
      <c r="T22" s="64"/>
      <c r="U22" s="65">
        <v>0.11577383400000001</v>
      </c>
      <c r="V22" s="2"/>
      <c r="W22" s="2"/>
      <c r="X22" s="3"/>
    </row>
    <row r="23" spans="2:24" x14ac:dyDescent="0.2">
      <c r="B23" s="16">
        <v>0.43755480000000002</v>
      </c>
      <c r="C23" s="16">
        <v>0.5</v>
      </c>
      <c r="D23" s="16">
        <v>0.42857139999999999</v>
      </c>
      <c r="E23" s="16">
        <v>0.46153850000000002</v>
      </c>
      <c r="F23" s="16" t="s">
        <v>59</v>
      </c>
      <c r="G23" s="5"/>
      <c r="H23" s="52" t="s">
        <v>111</v>
      </c>
      <c r="I23" s="52"/>
      <c r="J23" s="5"/>
      <c r="K23" s="5"/>
      <c r="L23" s="5"/>
      <c r="M23" s="5"/>
      <c r="N23" s="5"/>
      <c r="O23" s="5"/>
      <c r="P23" s="18" t="s">
        <v>92</v>
      </c>
      <c r="Q23" s="19"/>
      <c r="R23" s="66">
        <v>24.519632000000001</v>
      </c>
      <c r="S23" s="64">
        <v>24.519632000000001</v>
      </c>
      <c r="T23" s="64"/>
      <c r="U23" s="65">
        <v>5.7115015999999998E-2</v>
      </c>
      <c r="V23" s="2"/>
      <c r="W23" s="2"/>
      <c r="X23" s="3"/>
    </row>
    <row r="24" spans="2:24" x14ac:dyDescent="0.2">
      <c r="B24" s="16">
        <v>0.43999500000000002</v>
      </c>
      <c r="C24" s="16">
        <v>0.66666669999999995</v>
      </c>
      <c r="D24" s="16">
        <v>0.25</v>
      </c>
      <c r="E24" s="16">
        <v>0.36363640000000003</v>
      </c>
      <c r="F24" s="16" t="s">
        <v>53</v>
      </c>
      <c r="G24" s="5"/>
      <c r="H24" s="5" t="s">
        <v>38</v>
      </c>
      <c r="I24" s="5" t="s">
        <v>112</v>
      </c>
      <c r="J24" s="5"/>
      <c r="K24" s="5"/>
      <c r="L24" s="51" t="s">
        <v>69</v>
      </c>
      <c r="M24" s="51"/>
      <c r="N24" s="5"/>
      <c r="O24" s="5"/>
      <c r="P24" s="18" t="s">
        <v>93</v>
      </c>
      <c r="Q24" s="19"/>
      <c r="R24" s="66">
        <v>38.053466999999998</v>
      </c>
      <c r="S24" s="64">
        <v>38.053466999999998</v>
      </c>
      <c r="T24" s="64"/>
      <c r="U24" s="65">
        <v>8.5223799999999995E-3</v>
      </c>
      <c r="V24" s="2"/>
      <c r="W24" s="2"/>
      <c r="X24" s="3"/>
    </row>
    <row r="25" spans="2:24" x14ac:dyDescent="0.2">
      <c r="B25" s="16">
        <v>0.32241429999999999</v>
      </c>
      <c r="C25" s="16">
        <v>0.25</v>
      </c>
      <c r="D25" s="16">
        <v>0.14285709999999999</v>
      </c>
      <c r="E25" s="16">
        <v>0.18181820000000001</v>
      </c>
      <c r="F25" s="16" t="s">
        <v>55</v>
      </c>
      <c r="G25" s="5"/>
      <c r="H25" s="16" t="s">
        <v>73</v>
      </c>
      <c r="I25" s="16">
        <v>0.55401199999999995</v>
      </c>
      <c r="J25" s="5"/>
      <c r="K25" s="5"/>
      <c r="L25" s="5" t="s">
        <v>22</v>
      </c>
      <c r="M25" s="5">
        <v>0.22222</v>
      </c>
      <c r="N25" s="5"/>
      <c r="O25" s="5"/>
      <c r="P25" s="18" t="s">
        <v>124</v>
      </c>
      <c r="Q25" s="19"/>
      <c r="R25" s="66"/>
      <c r="S25" s="64"/>
      <c r="T25" s="58">
        <v>1.4039843E-2</v>
      </c>
      <c r="U25" s="58"/>
      <c r="V25" s="2"/>
      <c r="W25" s="2"/>
      <c r="X25" s="3"/>
    </row>
    <row r="26" spans="2:24" x14ac:dyDescent="0.2">
      <c r="B26" s="16">
        <v>0.39476319999999998</v>
      </c>
      <c r="C26" s="16">
        <v>0.66666669999999995</v>
      </c>
      <c r="D26" s="16">
        <v>0.25</v>
      </c>
      <c r="E26" s="16">
        <v>0.36363640000000003</v>
      </c>
      <c r="F26" s="16" t="s">
        <v>39</v>
      </c>
      <c r="G26" s="5"/>
      <c r="H26" s="16" t="s">
        <v>74</v>
      </c>
      <c r="I26" s="16">
        <v>0.48671720000000002</v>
      </c>
      <c r="J26" s="5"/>
      <c r="K26" s="5"/>
      <c r="L26" s="5" t="s">
        <v>21</v>
      </c>
      <c r="M26" s="5">
        <v>1</v>
      </c>
      <c r="N26" s="5"/>
      <c r="O26" s="5"/>
      <c r="P26" s="18" t="s">
        <v>94</v>
      </c>
      <c r="Q26" s="19"/>
      <c r="R26" s="66">
        <v>2.2974100000000002</v>
      </c>
      <c r="S26" s="64">
        <v>2.2974100000000002</v>
      </c>
      <c r="T26" s="64"/>
      <c r="U26" s="65">
        <v>-1.7383589000000001E-2</v>
      </c>
      <c r="V26" s="2"/>
      <c r="W26" s="2"/>
      <c r="X26" s="3"/>
    </row>
    <row r="27" spans="2:24" x14ac:dyDescent="0.2">
      <c r="B27" s="16">
        <v>0.33663949999999998</v>
      </c>
      <c r="C27" s="16">
        <v>0</v>
      </c>
      <c r="D27" s="16">
        <v>0</v>
      </c>
      <c r="E27" s="16" t="s">
        <v>113</v>
      </c>
      <c r="F27" s="16" t="s">
        <v>41</v>
      </c>
      <c r="G27" s="5"/>
      <c r="H27" s="16" t="s">
        <v>75</v>
      </c>
      <c r="I27" s="16">
        <v>0.5540197</v>
      </c>
      <c r="J27" s="5"/>
      <c r="K27" s="5"/>
      <c r="L27" s="5" t="s">
        <v>20</v>
      </c>
      <c r="M27" s="5">
        <v>1</v>
      </c>
      <c r="N27" s="5"/>
      <c r="O27" s="5"/>
      <c r="P27" s="18" t="s">
        <v>95</v>
      </c>
      <c r="Q27" s="19"/>
      <c r="R27" s="66">
        <v>20.676691999999999</v>
      </c>
      <c r="S27" s="64">
        <v>20.676691999999999</v>
      </c>
      <c r="T27" s="64"/>
      <c r="U27" s="65">
        <v>1.6664130999999999E-2</v>
      </c>
      <c r="V27" s="2"/>
      <c r="W27" s="2"/>
      <c r="X27" s="3"/>
    </row>
    <row r="28" spans="2:24" x14ac:dyDescent="0.2">
      <c r="B28" s="16">
        <v>0.55664429999999998</v>
      </c>
      <c r="C28" s="16">
        <v>0.8</v>
      </c>
      <c r="D28" s="16">
        <v>0.5</v>
      </c>
      <c r="E28" s="16">
        <v>0.61538459999999995</v>
      </c>
      <c r="F28" s="16" t="s">
        <v>48</v>
      </c>
      <c r="G28" s="5"/>
      <c r="H28" s="16" t="s">
        <v>76</v>
      </c>
      <c r="I28" s="16">
        <v>0.5561275</v>
      </c>
      <c r="J28" s="5"/>
      <c r="K28" s="5"/>
      <c r="L28" s="5" t="s">
        <v>19</v>
      </c>
      <c r="M28" s="5">
        <v>0.84091000000000005</v>
      </c>
      <c r="N28" s="5"/>
      <c r="O28" s="5"/>
      <c r="P28" s="18" t="s">
        <v>96</v>
      </c>
      <c r="Q28" s="19"/>
      <c r="R28" s="64">
        <v>34.544694999999997</v>
      </c>
      <c r="S28" s="64">
        <v>34.544694999999997</v>
      </c>
      <c r="T28" s="64"/>
      <c r="U28" s="65">
        <v>-9.8163035999999995E-2</v>
      </c>
      <c r="V28" s="2"/>
      <c r="W28" s="2"/>
      <c r="X28" s="3"/>
    </row>
    <row r="29" spans="2:24" x14ac:dyDescent="0.2">
      <c r="B29" s="16">
        <v>0.3626607</v>
      </c>
      <c r="C29" s="16">
        <v>0.5</v>
      </c>
      <c r="D29" s="16">
        <v>0.42857139999999999</v>
      </c>
      <c r="E29" s="16">
        <v>0.46153850000000002</v>
      </c>
      <c r="F29" s="16" t="s">
        <v>50</v>
      </c>
      <c r="G29" s="5"/>
      <c r="H29" s="16" t="s">
        <v>77</v>
      </c>
      <c r="I29" s="16">
        <v>0.59030280000000002</v>
      </c>
      <c r="J29" s="5"/>
      <c r="K29" s="9"/>
      <c r="L29" s="5" t="s">
        <v>18</v>
      </c>
      <c r="M29" s="5">
        <v>0.8478</v>
      </c>
      <c r="N29" s="5"/>
      <c r="O29" s="5"/>
      <c r="P29" s="18" t="s">
        <v>97</v>
      </c>
      <c r="Q29" s="19"/>
      <c r="R29" s="64">
        <v>3.2581449999999998</v>
      </c>
      <c r="S29" s="64">
        <v>3.2581449999999998</v>
      </c>
      <c r="T29" s="64"/>
      <c r="U29" s="65">
        <v>1.4898648E-2</v>
      </c>
      <c r="V29" s="2"/>
      <c r="W29" s="2"/>
      <c r="X29" s="3"/>
    </row>
    <row r="30" spans="2:24" x14ac:dyDescent="0.2">
      <c r="B30" s="16">
        <v>0.5338212</v>
      </c>
      <c r="C30" s="16">
        <v>0.66666669999999995</v>
      </c>
      <c r="D30" s="16">
        <v>0.28571429999999998</v>
      </c>
      <c r="E30" s="16">
        <v>0.4</v>
      </c>
      <c r="F30" s="16" t="s">
        <v>63</v>
      </c>
      <c r="G30" s="5"/>
      <c r="K30" s="10"/>
      <c r="L30" s="5" t="s">
        <v>17</v>
      </c>
      <c r="M30" s="5">
        <v>0.36359999999999998</v>
      </c>
      <c r="N30" s="5"/>
      <c r="O30" s="5"/>
      <c r="P30" s="18" t="s">
        <v>98</v>
      </c>
      <c r="Q30" s="19"/>
      <c r="R30" s="64">
        <v>0</v>
      </c>
      <c r="S30" s="64">
        <v>0</v>
      </c>
      <c r="T30" s="64"/>
      <c r="U30" s="65">
        <v>3.7260808999999999E-2</v>
      </c>
      <c r="V30" s="2"/>
      <c r="W30" s="2"/>
      <c r="X30" s="3"/>
    </row>
    <row r="31" spans="2:24" x14ac:dyDescent="0.2">
      <c r="B31" s="16">
        <v>0.6094562</v>
      </c>
      <c r="C31" s="16">
        <v>0.5</v>
      </c>
      <c r="D31" s="16">
        <v>0.25</v>
      </c>
      <c r="E31" s="16">
        <v>0.3333333</v>
      </c>
      <c r="F31" s="16" t="s">
        <v>52</v>
      </c>
      <c r="G31" s="5"/>
      <c r="H31" s="12" t="s">
        <v>161</v>
      </c>
      <c r="J31" s="54" t="s">
        <v>148</v>
      </c>
      <c r="K31" s="10"/>
      <c r="L31" s="5" t="s">
        <v>28</v>
      </c>
      <c r="M31" s="5">
        <v>0.43230000000000002</v>
      </c>
      <c r="N31" s="5"/>
      <c r="O31" s="5"/>
      <c r="P31" s="18" t="s">
        <v>129</v>
      </c>
      <c r="Q31" s="19"/>
      <c r="R31" s="64"/>
      <c r="S31" s="64"/>
      <c r="T31" s="58">
        <v>3.1366817999999998E-2</v>
      </c>
      <c r="U31" s="58"/>
      <c r="V31" s="2"/>
      <c r="W31" s="2"/>
      <c r="X31" s="3"/>
    </row>
    <row r="32" spans="2:24" x14ac:dyDescent="0.2">
      <c r="B32" s="16">
        <v>0.4714236</v>
      </c>
      <c r="C32" s="16">
        <v>0.8</v>
      </c>
      <c r="D32" s="16">
        <v>0.57142859999999995</v>
      </c>
      <c r="E32" s="16">
        <v>0.66666669999999995</v>
      </c>
      <c r="F32" s="16" t="s">
        <v>54</v>
      </c>
      <c r="G32" s="9"/>
      <c r="H32" s="26">
        <v>0.162162</v>
      </c>
      <c r="J32" s="54"/>
      <c r="K32" s="10"/>
      <c r="L32" s="5" t="s">
        <v>33</v>
      </c>
      <c r="M32" s="5">
        <v>0.61111000000000004</v>
      </c>
      <c r="N32" s="5"/>
      <c r="O32" s="5"/>
      <c r="P32" s="18" t="s">
        <v>99</v>
      </c>
      <c r="Q32" s="19"/>
      <c r="R32" s="64">
        <v>60.192146999999999</v>
      </c>
      <c r="S32" s="64">
        <v>60.192146999999999</v>
      </c>
      <c r="T32" s="64"/>
      <c r="U32" s="65">
        <v>-7.8321553000000002E-2</v>
      </c>
      <c r="V32" s="2"/>
      <c r="W32" s="2"/>
      <c r="X32" s="3"/>
    </row>
    <row r="33" spans="2:24" x14ac:dyDescent="0.2">
      <c r="B33" s="16">
        <v>0.41712199999999999</v>
      </c>
      <c r="C33" s="16">
        <v>0.5</v>
      </c>
      <c r="D33" s="16">
        <v>0.28571429999999998</v>
      </c>
      <c r="E33" s="16">
        <v>0.36363640000000003</v>
      </c>
      <c r="F33" s="16" t="s">
        <v>61</v>
      </c>
      <c r="G33" s="9"/>
      <c r="J33" s="9"/>
      <c r="K33" s="5"/>
      <c r="L33" s="5"/>
      <c r="M33" s="5"/>
      <c r="N33" s="5"/>
      <c r="O33" s="5"/>
      <c r="P33" s="18" t="s">
        <v>128</v>
      </c>
      <c r="Q33" s="19"/>
      <c r="R33" s="64"/>
      <c r="S33" s="64"/>
      <c r="T33" s="58">
        <v>-3.7734790000000002E-3</v>
      </c>
      <c r="U33" s="58"/>
      <c r="V33" s="2"/>
      <c r="W33" s="2"/>
      <c r="X33" s="3"/>
    </row>
    <row r="34" spans="2:24" x14ac:dyDescent="0.2">
      <c r="B34" s="16">
        <v>0.39335009999999998</v>
      </c>
      <c r="C34" s="16">
        <v>0.6</v>
      </c>
      <c r="D34" s="16">
        <v>0.42857139999999999</v>
      </c>
      <c r="E34" s="16">
        <v>0.5</v>
      </c>
      <c r="F34" s="16" t="s">
        <v>45</v>
      </c>
      <c r="G34" s="9"/>
      <c r="J34" s="9"/>
      <c r="K34" s="5"/>
      <c r="L34" s="5"/>
      <c r="M34" s="5"/>
      <c r="N34" s="5"/>
      <c r="O34" s="5"/>
      <c r="P34" s="18" t="s">
        <v>100</v>
      </c>
      <c r="Q34" s="19"/>
      <c r="R34" s="64">
        <v>54.845447</v>
      </c>
      <c r="S34" s="64">
        <v>54.845447</v>
      </c>
      <c r="T34" s="64"/>
      <c r="U34" s="65">
        <v>-1.3923263E-2</v>
      </c>
      <c r="V34" s="2"/>
      <c r="W34" s="2"/>
      <c r="X34" s="3"/>
    </row>
    <row r="35" spans="2:24" x14ac:dyDescent="0.2">
      <c r="B35" s="16">
        <v>0.42105989999999999</v>
      </c>
      <c r="C35" s="16">
        <v>0.5</v>
      </c>
      <c r="D35" s="16">
        <v>0.125</v>
      </c>
      <c r="E35" s="16">
        <v>0.2</v>
      </c>
      <c r="F35" s="16" t="s">
        <v>47</v>
      </c>
      <c r="G35" s="10"/>
      <c r="H35" s="2"/>
      <c r="I35" s="8"/>
      <c r="J35" s="8"/>
      <c r="K35" s="5"/>
      <c r="L35" s="5"/>
      <c r="M35" s="5"/>
      <c r="N35" s="5"/>
      <c r="O35" s="5"/>
      <c r="P35" s="18" t="s">
        <v>127</v>
      </c>
      <c r="Q35" s="19"/>
      <c r="R35" s="62"/>
      <c r="S35" s="64"/>
      <c r="T35" s="58">
        <v>-1.0013540000000001E-3</v>
      </c>
      <c r="U35" s="58"/>
      <c r="V35" s="2"/>
      <c r="W35" s="2"/>
      <c r="X35" s="3"/>
    </row>
    <row r="36" spans="2:24" x14ac:dyDescent="0.2">
      <c r="B36" s="16">
        <v>0.4486521</v>
      </c>
      <c r="C36" s="16">
        <v>0.66666669999999995</v>
      </c>
      <c r="D36" s="16">
        <v>0.28571429999999998</v>
      </c>
      <c r="E36" s="16">
        <v>0.4</v>
      </c>
      <c r="F36" s="16" t="s">
        <v>49</v>
      </c>
      <c r="G36" s="10"/>
      <c r="H36" s="2"/>
      <c r="I36" s="8"/>
      <c r="J36" s="8"/>
      <c r="K36" s="5"/>
      <c r="L36" s="5"/>
      <c r="M36" s="5"/>
      <c r="N36" s="5"/>
      <c r="O36" s="5"/>
      <c r="P36" s="18" t="s">
        <v>101</v>
      </c>
      <c r="Q36" s="19"/>
      <c r="R36" s="64">
        <v>33.375104</v>
      </c>
      <c r="S36" s="64">
        <v>33.375104</v>
      </c>
      <c r="T36" s="64"/>
      <c r="U36" s="65">
        <v>2.1569305E-2</v>
      </c>
      <c r="W36" s="2"/>
      <c r="X36" s="3"/>
    </row>
    <row r="37" spans="2:24" x14ac:dyDescent="0.2">
      <c r="B37" s="16">
        <v>0.39328999999999997</v>
      </c>
      <c r="C37" s="16">
        <v>0.5</v>
      </c>
      <c r="D37" s="16">
        <v>0.14285709999999999</v>
      </c>
      <c r="E37" s="16">
        <v>0.22222220000000001</v>
      </c>
      <c r="F37" s="16" t="s">
        <v>43</v>
      </c>
      <c r="G37" s="10"/>
      <c r="H37" s="2"/>
      <c r="I37" s="8"/>
      <c r="J37" s="8"/>
      <c r="P37" s="18" t="s">
        <v>102</v>
      </c>
      <c r="Q37" s="19"/>
      <c r="R37" s="64">
        <v>15.288221</v>
      </c>
      <c r="S37" s="64">
        <v>15.288221</v>
      </c>
      <c r="T37" s="64"/>
      <c r="U37" s="65">
        <v>1.2377215E-2</v>
      </c>
    </row>
    <row r="38" spans="2:24" x14ac:dyDescent="0.2">
      <c r="B38" s="16">
        <v>0.61384249999999996</v>
      </c>
      <c r="C38" s="16">
        <v>0.8</v>
      </c>
      <c r="D38" s="16">
        <v>0.57142859999999995</v>
      </c>
      <c r="E38" s="16">
        <v>0.66666669999999995</v>
      </c>
      <c r="F38" s="16" t="s">
        <v>56</v>
      </c>
      <c r="G38" s="10"/>
      <c r="H38" s="2"/>
      <c r="I38" s="8"/>
      <c r="J38" s="8"/>
      <c r="P38" s="18" t="s">
        <v>103</v>
      </c>
      <c r="Q38" s="19"/>
      <c r="R38" s="64">
        <v>47.159565999999998</v>
      </c>
      <c r="S38" s="64">
        <v>47.159565999999998</v>
      </c>
      <c r="T38" s="64"/>
      <c r="U38" s="65">
        <v>-2.7213694E-2</v>
      </c>
    </row>
    <row r="39" spans="2:24" x14ac:dyDescent="0.2">
      <c r="B39" s="16">
        <v>0.4622541</v>
      </c>
      <c r="C39" s="16">
        <v>0.66666669999999995</v>
      </c>
      <c r="D39" s="16">
        <v>0.28571429999999998</v>
      </c>
      <c r="E39" s="16">
        <v>0.4</v>
      </c>
      <c r="F39" s="16" t="s">
        <v>58</v>
      </c>
      <c r="G39" s="10"/>
      <c r="H39" s="2"/>
      <c r="I39" s="8"/>
      <c r="J39" s="8"/>
      <c r="P39" s="18" t="s">
        <v>126</v>
      </c>
      <c r="Q39" s="19"/>
      <c r="R39" s="64"/>
      <c r="S39" s="64"/>
      <c r="T39" s="58">
        <v>4.6587353999999997E-2</v>
      </c>
      <c r="U39" s="58"/>
    </row>
    <row r="40" spans="2:24" x14ac:dyDescent="0.2">
      <c r="B40" s="16">
        <v>0.40868989999999999</v>
      </c>
      <c r="C40" s="16">
        <v>0.75</v>
      </c>
      <c r="D40" s="16">
        <v>0.42857139999999999</v>
      </c>
      <c r="E40" s="16">
        <v>0.54545449999999995</v>
      </c>
      <c r="F40" s="16" t="s">
        <v>60</v>
      </c>
      <c r="G40" s="5"/>
      <c r="H40" s="15"/>
      <c r="I40" s="14"/>
      <c r="J40" s="5"/>
      <c r="P40" s="18" t="s">
        <v>104</v>
      </c>
      <c r="Q40" s="19"/>
      <c r="R40" s="64">
        <v>47.577277000000002</v>
      </c>
      <c r="S40" s="64">
        <v>47.577277000000002</v>
      </c>
      <c r="T40" s="64"/>
      <c r="U40" s="65">
        <v>-7.5307146000000005E-2</v>
      </c>
    </row>
    <row r="41" spans="2:24" x14ac:dyDescent="0.2">
      <c r="B41" s="16">
        <v>0.49200899999999997</v>
      </c>
      <c r="C41" s="16">
        <v>1</v>
      </c>
      <c r="D41" s="16">
        <v>0.42857139999999999</v>
      </c>
      <c r="E41" s="16">
        <v>0.6</v>
      </c>
      <c r="F41" s="16" t="s">
        <v>62</v>
      </c>
      <c r="G41" s="5"/>
      <c r="H41" s="5"/>
      <c r="I41" s="5"/>
      <c r="J41" s="5"/>
      <c r="P41" s="18" t="s">
        <v>125</v>
      </c>
      <c r="Q41" s="19"/>
      <c r="R41" s="19"/>
      <c r="S41" s="19"/>
      <c r="T41" s="8">
        <v>1.9523578999999999E-2</v>
      </c>
      <c r="U41" s="8"/>
    </row>
    <row r="42" spans="2:24" x14ac:dyDescent="0.2">
      <c r="B42" s="16">
        <v>0.40615469999999998</v>
      </c>
      <c r="C42" s="16">
        <v>0.5</v>
      </c>
      <c r="D42" s="16">
        <v>0.14285709999999999</v>
      </c>
      <c r="E42" s="16">
        <v>0.22222220000000001</v>
      </c>
      <c r="F42" s="16" t="s">
        <v>51</v>
      </c>
      <c r="P42" s="18" t="s">
        <v>105</v>
      </c>
      <c r="Q42" s="19"/>
      <c r="R42" s="19">
        <v>42.230575999999999</v>
      </c>
      <c r="S42" s="19">
        <v>42.230575999999999</v>
      </c>
      <c r="T42" s="19"/>
      <c r="U42" s="3">
        <v>3.9401156E-2</v>
      </c>
    </row>
    <row r="43" spans="2:24" x14ac:dyDescent="0.2">
      <c r="B43" s="16">
        <v>0.49389280000000002</v>
      </c>
      <c r="C43" s="16">
        <v>0.75</v>
      </c>
      <c r="D43" s="16">
        <v>0.42857139999999999</v>
      </c>
      <c r="E43" s="16">
        <v>0.54545449999999995</v>
      </c>
      <c r="F43" s="16" t="s">
        <v>40</v>
      </c>
      <c r="P43" s="18" t="s">
        <v>106</v>
      </c>
      <c r="Q43" s="19"/>
      <c r="R43" s="19">
        <v>6.2238930000000003</v>
      </c>
      <c r="S43" s="19">
        <v>6.2238930000000003</v>
      </c>
      <c r="T43" s="19"/>
      <c r="U43" s="3">
        <v>-1.5110844999999999E-2</v>
      </c>
    </row>
    <row r="44" spans="2:24" x14ac:dyDescent="0.2">
      <c r="B44" s="16">
        <v>0.39485629999999999</v>
      </c>
      <c r="C44" s="16">
        <v>0.66666669999999995</v>
      </c>
      <c r="D44" s="16">
        <v>0.28571429999999998</v>
      </c>
      <c r="E44" s="16">
        <v>0.4</v>
      </c>
      <c r="F44" s="16" t="s">
        <v>42</v>
      </c>
      <c r="P44" s="18" t="s">
        <v>107</v>
      </c>
      <c r="Q44" s="19"/>
      <c r="R44" s="19">
        <v>27.025898000000002</v>
      </c>
      <c r="S44" s="19">
        <v>27.025898000000002</v>
      </c>
      <c r="T44" s="19"/>
      <c r="U44" s="3">
        <v>-2.9886363999999999E-2</v>
      </c>
    </row>
    <row r="45" spans="2:24" x14ac:dyDescent="0.2">
      <c r="B45" s="16">
        <v>0.69397889999999995</v>
      </c>
      <c r="C45" s="16">
        <v>0.83333330000000005</v>
      </c>
      <c r="D45" s="16">
        <v>0.71428570000000002</v>
      </c>
      <c r="E45" s="16">
        <v>0.76923079999999999</v>
      </c>
      <c r="F45" s="16" t="s">
        <v>44</v>
      </c>
      <c r="P45" s="18"/>
      <c r="Q45" s="18"/>
      <c r="R45" s="18"/>
      <c r="S45" s="18"/>
      <c r="T45" s="18"/>
    </row>
    <row r="46" spans="2:24" x14ac:dyDescent="0.2">
      <c r="B46" s="16">
        <v>0.60286499999999998</v>
      </c>
      <c r="C46" s="16">
        <v>0.66666669999999995</v>
      </c>
      <c r="D46" s="16">
        <v>0.85714290000000004</v>
      </c>
      <c r="E46" s="16">
        <v>0.75</v>
      </c>
      <c r="F46" s="16" t="s">
        <v>46</v>
      </c>
      <c r="P46" s="18"/>
      <c r="Q46" s="18"/>
      <c r="R46" s="18"/>
      <c r="S46" s="18"/>
      <c r="T46" s="18"/>
      <c r="U46" s="18" t="s">
        <v>195</v>
      </c>
    </row>
    <row r="47" spans="2:24" x14ac:dyDescent="0.2">
      <c r="B47" s="2"/>
      <c r="G47" s="2"/>
      <c r="P47" s="18"/>
      <c r="Q47" s="18"/>
      <c r="R47" s="18"/>
      <c r="S47" s="18"/>
      <c r="T47" s="18"/>
      <c r="U47" s="18" t="s">
        <v>194</v>
      </c>
    </row>
    <row r="48" spans="2:24" x14ac:dyDescent="0.2">
      <c r="B48" s="2"/>
      <c r="C48" s="2"/>
      <c r="D48" s="2"/>
      <c r="E48" s="2"/>
      <c r="F48" s="2"/>
    </row>
    <row r="49" spans="2:14" x14ac:dyDescent="0.2">
      <c r="B49" s="2"/>
      <c r="C49" s="3"/>
      <c r="D49" s="3"/>
      <c r="E49" s="3"/>
      <c r="F49" s="3"/>
      <c r="G49" s="2"/>
    </row>
    <row r="50" spans="2:14" x14ac:dyDescent="0.2">
      <c r="B50" s="2"/>
    </row>
    <row r="51" spans="2:14" x14ac:dyDescent="0.2">
      <c r="B51" s="2"/>
    </row>
    <row r="52" spans="2:14" x14ac:dyDescent="0.2">
      <c r="B52" s="2"/>
    </row>
    <row r="53" spans="2:14" x14ac:dyDescent="0.2">
      <c r="B53" s="2"/>
    </row>
    <row r="54" spans="2:14" x14ac:dyDescent="0.2">
      <c r="B54" s="2"/>
    </row>
    <row r="55" spans="2:14" x14ac:dyDescent="0.2">
      <c r="B55" s="2"/>
    </row>
    <row r="56" spans="2:14" x14ac:dyDescent="0.2">
      <c r="B56" s="2"/>
    </row>
    <row r="57" spans="2:14" x14ac:dyDescent="0.2">
      <c r="B57" s="2"/>
    </row>
    <row r="58" spans="2:14" x14ac:dyDescent="0.2">
      <c r="B58" s="2"/>
    </row>
    <row r="59" spans="2:14" x14ac:dyDescent="0.2">
      <c r="B59" s="2"/>
    </row>
    <row r="60" spans="2:14" x14ac:dyDescent="0.2">
      <c r="B60" s="2"/>
    </row>
    <row r="61" spans="2:14" x14ac:dyDescent="0.2">
      <c r="B61" s="2"/>
    </row>
    <row r="62" spans="2:14" x14ac:dyDescent="0.2">
      <c r="B62" s="2"/>
    </row>
    <row r="63" spans="2:14" x14ac:dyDescent="0.2">
      <c r="B63" s="2"/>
    </row>
    <row r="64" spans="2:14" x14ac:dyDescent="0.2">
      <c r="B64" s="2"/>
      <c r="N64" s="2"/>
    </row>
    <row r="65" spans="2:14" x14ac:dyDescent="0.2">
      <c r="B65" s="2"/>
      <c r="N65" s="2"/>
    </row>
    <row r="66" spans="2:14" x14ac:dyDescent="0.2">
      <c r="B66" s="2"/>
      <c r="N66" s="2"/>
    </row>
    <row r="67" spans="2:14" x14ac:dyDescent="0.2">
      <c r="B67" s="2"/>
      <c r="N67" s="2"/>
    </row>
    <row r="68" spans="2:14" x14ac:dyDescent="0.2">
      <c r="B68" s="2"/>
      <c r="N68" s="2"/>
    </row>
    <row r="69" spans="2:14" x14ac:dyDescent="0.2">
      <c r="B69" s="2"/>
      <c r="N69" s="2"/>
    </row>
    <row r="70" spans="2:14" x14ac:dyDescent="0.2">
      <c r="B70" s="2"/>
      <c r="N70" s="2"/>
    </row>
    <row r="71" spans="2:14" x14ac:dyDescent="0.2">
      <c r="B71" s="2"/>
      <c r="N71" s="2"/>
    </row>
    <row r="72" spans="2:14" x14ac:dyDescent="0.2">
      <c r="B72" s="2"/>
      <c r="N72" s="2"/>
    </row>
    <row r="73" spans="2:14" x14ac:dyDescent="0.2">
      <c r="B73" s="2"/>
      <c r="N73" s="2"/>
    </row>
    <row r="74" spans="2:14" x14ac:dyDescent="0.2">
      <c r="B74" s="2"/>
      <c r="N74" s="2"/>
    </row>
    <row r="75" spans="2:14" x14ac:dyDescent="0.2">
      <c r="N75" s="2"/>
    </row>
    <row r="76" spans="2:14" x14ac:dyDescent="0.2">
      <c r="N76" s="2"/>
    </row>
  </sheetData>
  <mergeCells count="10">
    <mergeCell ref="B2:U2"/>
    <mergeCell ref="L4:N4"/>
    <mergeCell ref="B4:J4"/>
    <mergeCell ref="B20:F20"/>
    <mergeCell ref="L9:M9"/>
    <mergeCell ref="H23:I23"/>
    <mergeCell ref="J31:J32"/>
    <mergeCell ref="R4:S4"/>
    <mergeCell ref="L24:M24"/>
    <mergeCell ref="L19:N1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F5A0-0FD6-6640-937C-A302C869270E}">
  <dimension ref="B1:Z269"/>
  <sheetViews>
    <sheetView topLeftCell="M1" zoomScale="75" zoomScaleNormal="100" workbookViewId="0">
      <selection activeCell="U12" sqref="U12:W36"/>
    </sheetView>
  </sheetViews>
  <sheetFormatPr baseColWidth="10" defaultColWidth="11" defaultRowHeight="16" x14ac:dyDescent="0.2"/>
  <cols>
    <col min="1" max="1" width="4.5" customWidth="1"/>
    <col min="2" max="2" width="13.83203125" customWidth="1"/>
    <col min="3" max="4" width="12.5" customWidth="1"/>
    <col min="5" max="5" width="13" customWidth="1"/>
    <col min="6" max="6" width="24.1640625" customWidth="1"/>
    <col min="7" max="7" width="13.33203125" bestFit="1" customWidth="1"/>
    <col min="8" max="8" width="17.33203125" customWidth="1"/>
    <col min="9" max="9" width="13.5" customWidth="1"/>
    <col min="10" max="12" width="15.83203125" customWidth="1"/>
    <col min="14" max="14" width="28" bestFit="1" customWidth="1"/>
    <col min="15" max="15" width="16.83203125" bestFit="1" customWidth="1"/>
    <col min="16" max="16" width="50.6640625" bestFit="1" customWidth="1"/>
    <col min="18" max="18" width="22.83203125" bestFit="1" customWidth="1"/>
    <col min="19" max="19" width="19" customWidth="1"/>
    <col min="20" max="20" width="11.6640625" customWidth="1"/>
    <col min="21" max="21" width="12.1640625" customWidth="1"/>
    <col min="22" max="22" width="28.33203125" bestFit="1" customWidth="1"/>
  </cols>
  <sheetData>
    <row r="1" spans="2:26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6" x14ac:dyDescent="0.2">
      <c r="B2" s="55" t="s">
        <v>14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6"/>
    </row>
    <row r="3" spans="2:26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"/>
      <c r="N3" s="6"/>
      <c r="O3" s="6"/>
      <c r="P3" s="6"/>
      <c r="Q3" s="6"/>
      <c r="R3" s="5"/>
      <c r="S3" s="5"/>
      <c r="T3" s="5"/>
      <c r="U3" s="5"/>
    </row>
    <row r="4" spans="2:26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5"/>
      <c r="N4" s="49" t="s">
        <v>36</v>
      </c>
      <c r="O4" s="49"/>
      <c r="P4" s="49"/>
      <c r="Q4" s="6"/>
      <c r="R4" s="23" t="s">
        <v>30</v>
      </c>
      <c r="S4" s="23" t="s">
        <v>34</v>
      </c>
      <c r="T4" s="51" t="s">
        <v>173</v>
      </c>
      <c r="U4" s="51"/>
      <c r="V4" s="13" t="s">
        <v>174</v>
      </c>
      <c r="W4" s="5"/>
      <c r="Y4" s="17"/>
      <c r="Z4" s="17"/>
    </row>
    <row r="5" spans="2:26" x14ac:dyDescent="0.2">
      <c r="B5" s="5" t="s">
        <v>0</v>
      </c>
      <c r="C5" s="5" t="s">
        <v>2</v>
      </c>
      <c r="D5" s="5" t="s">
        <v>3</v>
      </c>
      <c r="E5" s="5" t="s">
        <v>130</v>
      </c>
      <c r="F5" s="5" t="s">
        <v>5</v>
      </c>
      <c r="G5" s="5" t="s">
        <v>6</v>
      </c>
      <c r="H5" s="5" t="s">
        <v>7</v>
      </c>
      <c r="I5" s="5" t="s">
        <v>131</v>
      </c>
      <c r="J5" s="5" t="s">
        <v>66</v>
      </c>
      <c r="K5" s="5" t="s">
        <v>67</v>
      </c>
      <c r="L5" s="5" t="s">
        <v>68</v>
      </c>
      <c r="M5" s="5"/>
      <c r="N5" s="9" t="s">
        <v>109</v>
      </c>
      <c r="O5" s="9" t="s">
        <v>10</v>
      </c>
      <c r="P5" s="9" t="s">
        <v>11</v>
      </c>
      <c r="Q5" s="5"/>
      <c r="T5" s="17" t="s">
        <v>31</v>
      </c>
      <c r="U5" s="17" t="s">
        <v>32</v>
      </c>
      <c r="V5" s="17"/>
      <c r="X5" s="18"/>
      <c r="Y5" s="19"/>
      <c r="Z5" s="19"/>
    </row>
    <row r="6" spans="2:26" x14ac:dyDescent="0.2">
      <c r="B6" s="8">
        <v>0.01</v>
      </c>
      <c r="C6" s="8">
        <v>2</v>
      </c>
      <c r="D6" s="8">
        <v>1E-3</v>
      </c>
      <c r="E6" s="8">
        <v>0.45314739999999998</v>
      </c>
      <c r="F6" s="8">
        <v>0.8</v>
      </c>
      <c r="G6" s="8">
        <v>2.214286E-2</v>
      </c>
      <c r="H6" s="8">
        <v>0.24305560000000001</v>
      </c>
      <c r="I6" s="8">
        <v>9.0167129999999998E-2</v>
      </c>
      <c r="J6" s="8">
        <v>0.44721359999999999</v>
      </c>
      <c r="K6" s="8">
        <v>5.1878000000000001E-2</v>
      </c>
      <c r="L6" s="8">
        <v>1.3888889999999999E-2</v>
      </c>
      <c r="M6" s="5"/>
      <c r="N6" s="9" t="s">
        <v>8</v>
      </c>
      <c r="O6" s="10">
        <v>18</v>
      </c>
      <c r="P6" s="10">
        <v>2</v>
      </c>
      <c r="Q6" s="5"/>
      <c r="R6" s="22" t="s">
        <v>29</v>
      </c>
      <c r="T6">
        <v>100</v>
      </c>
      <c r="U6">
        <v>100</v>
      </c>
      <c r="V6" s="8">
        <v>6.2089618999999999E-2</v>
      </c>
      <c r="W6" s="18"/>
      <c r="X6" s="18" t="s">
        <v>194</v>
      </c>
      <c r="Y6" s="8"/>
    </row>
    <row r="7" spans="2:26" x14ac:dyDescent="0.2">
      <c r="B7" s="8">
        <v>0.1</v>
      </c>
      <c r="C7" s="8">
        <v>2</v>
      </c>
      <c r="D7" s="8">
        <v>1E-3</v>
      </c>
      <c r="E7" s="8">
        <v>0.46856300000000001</v>
      </c>
      <c r="F7" s="8">
        <v>0.64914289999999997</v>
      </c>
      <c r="G7" s="8">
        <v>0.32285713999999999</v>
      </c>
      <c r="H7" s="8">
        <v>0.44922980000000001</v>
      </c>
      <c r="I7" s="8">
        <v>9.5159010000000002E-2</v>
      </c>
      <c r="J7" s="8">
        <v>0.27243000000000001</v>
      </c>
      <c r="K7" s="8">
        <v>0.16462826999999999</v>
      </c>
      <c r="L7" s="8">
        <v>0.13709990999999999</v>
      </c>
      <c r="M7" s="5"/>
      <c r="N7" s="9" t="s">
        <v>9</v>
      </c>
      <c r="O7" s="10">
        <v>18</v>
      </c>
      <c r="P7" s="10">
        <v>147</v>
      </c>
      <c r="Q7" s="6"/>
      <c r="R7" s="22" t="s">
        <v>78</v>
      </c>
      <c r="T7">
        <v>62.447786000000001</v>
      </c>
      <c r="U7">
        <v>62.447786000000001</v>
      </c>
      <c r="V7" s="8">
        <v>2.3341746999999999E-2</v>
      </c>
      <c r="W7" s="18"/>
      <c r="Y7" s="8"/>
    </row>
    <row r="8" spans="2:26" x14ac:dyDescent="0.2">
      <c r="B8" s="8">
        <v>0.5</v>
      </c>
      <c r="C8" s="8">
        <v>2</v>
      </c>
      <c r="D8" s="8">
        <v>1E-3</v>
      </c>
      <c r="E8" s="8">
        <v>0.4658969</v>
      </c>
      <c r="F8" s="8">
        <v>0.66597220000000001</v>
      </c>
      <c r="G8" s="8">
        <v>0.33</v>
      </c>
      <c r="H8" s="8">
        <v>0.4539958</v>
      </c>
      <c r="I8" s="8">
        <v>9.3018939999999994E-2</v>
      </c>
      <c r="J8" s="8">
        <v>0.24980569999999999</v>
      </c>
      <c r="K8" s="8">
        <v>0.18328017999999999</v>
      </c>
      <c r="L8" s="8">
        <v>0.16704269999999999</v>
      </c>
      <c r="M8" s="5"/>
      <c r="N8" s="5"/>
      <c r="O8" s="5"/>
      <c r="P8" s="5"/>
      <c r="Q8" s="5"/>
      <c r="R8" s="22" t="s">
        <v>79</v>
      </c>
      <c r="T8">
        <v>70.634921000000006</v>
      </c>
      <c r="U8">
        <v>70.634921000000006</v>
      </c>
      <c r="V8" s="8">
        <v>1.0748082000000001E-2</v>
      </c>
      <c r="W8" s="18"/>
      <c r="X8" s="2"/>
      <c r="Y8" s="8"/>
    </row>
    <row r="9" spans="2:26" x14ac:dyDescent="0.2">
      <c r="B9" s="8">
        <v>1</v>
      </c>
      <c r="C9" s="8">
        <v>2</v>
      </c>
      <c r="D9" s="8">
        <v>1E-3</v>
      </c>
      <c r="E9" s="8">
        <v>0.46801110000000001</v>
      </c>
      <c r="F9" s="8">
        <v>0.66666669999999995</v>
      </c>
      <c r="G9" s="8">
        <v>0.34499999999999997</v>
      </c>
      <c r="H9" s="8">
        <v>0.46968779999999999</v>
      </c>
      <c r="I9" s="8">
        <v>9.4030429999999998E-2</v>
      </c>
      <c r="J9" s="8">
        <v>0.2340052</v>
      </c>
      <c r="K9" s="8">
        <v>0.18113634000000001</v>
      </c>
      <c r="L9" s="8">
        <v>0.14855319</v>
      </c>
      <c r="M9" s="5"/>
      <c r="N9" s="51" t="s">
        <v>70</v>
      </c>
      <c r="O9" s="51"/>
      <c r="P9" s="5" t="s">
        <v>37</v>
      </c>
      <c r="Q9" s="5"/>
      <c r="R9" s="22" t="s">
        <v>80</v>
      </c>
      <c r="T9">
        <v>69.507101000000006</v>
      </c>
      <c r="U9">
        <v>69.507101000000006</v>
      </c>
      <c r="V9" s="8">
        <v>1.2917405999999999E-2</v>
      </c>
      <c r="W9" s="18"/>
      <c r="X9" s="2"/>
      <c r="Y9" s="8"/>
    </row>
    <row r="10" spans="2:26" x14ac:dyDescent="0.2">
      <c r="B10" s="8">
        <v>2</v>
      </c>
      <c r="C10" s="8">
        <v>2</v>
      </c>
      <c r="D10" s="8">
        <v>1E-3</v>
      </c>
      <c r="E10" s="8">
        <v>0.46612910000000002</v>
      </c>
      <c r="F10" s="8">
        <v>0.6245714</v>
      </c>
      <c r="G10" s="8">
        <v>0.30928570999999999</v>
      </c>
      <c r="H10" s="8">
        <v>0.44605089999999997</v>
      </c>
      <c r="I10" s="8">
        <v>9.2358659999999995E-2</v>
      </c>
      <c r="J10" s="8">
        <v>0.30525269999999999</v>
      </c>
      <c r="K10" s="8">
        <v>0.18726743000000001</v>
      </c>
      <c r="L10" s="8">
        <v>0.15788078</v>
      </c>
      <c r="M10" s="5"/>
      <c r="N10" s="5" t="s">
        <v>22</v>
      </c>
      <c r="O10" s="5">
        <v>0.5</v>
      </c>
      <c r="P10" s="5"/>
      <c r="Q10" s="5"/>
      <c r="R10" s="22" t="s">
        <v>81</v>
      </c>
      <c r="T10">
        <v>66.583123999999998</v>
      </c>
      <c r="U10">
        <v>66.583123999999998</v>
      </c>
      <c r="V10" s="8">
        <v>1.1361878000000001E-2</v>
      </c>
      <c r="W10" s="18"/>
      <c r="X10" s="2"/>
      <c r="Y10" s="8"/>
      <c r="Z10" s="8"/>
    </row>
    <row r="11" spans="2:26" x14ac:dyDescent="0.2">
      <c r="B11" s="8">
        <v>3</v>
      </c>
      <c r="C11" s="8">
        <v>2</v>
      </c>
      <c r="D11" s="8">
        <v>1E-3</v>
      </c>
      <c r="E11" s="8">
        <v>0.465754</v>
      </c>
      <c r="F11" s="8">
        <v>0.63733329999999999</v>
      </c>
      <c r="G11" s="8">
        <v>0.33500000000000002</v>
      </c>
      <c r="H11" s="8">
        <v>0.4626921</v>
      </c>
      <c r="I11" s="8">
        <v>9.2792630000000001E-2</v>
      </c>
      <c r="J11" s="8">
        <v>0.26318390000000003</v>
      </c>
      <c r="K11" s="8">
        <v>0.16935125000000001</v>
      </c>
      <c r="L11" s="8">
        <v>0.15304044</v>
      </c>
      <c r="M11" s="5"/>
      <c r="N11" s="5" t="s">
        <v>21</v>
      </c>
      <c r="O11" s="5">
        <v>0.98660000000000003</v>
      </c>
      <c r="P11" s="5"/>
      <c r="Q11" s="5"/>
      <c r="R11" s="22" t="s">
        <v>82</v>
      </c>
      <c r="T11">
        <v>41.436926</v>
      </c>
      <c r="U11">
        <v>41.436926</v>
      </c>
      <c r="V11" s="8">
        <v>-3.015083E-3</v>
      </c>
      <c r="W11" s="18"/>
      <c r="X11" s="2"/>
      <c r="Y11" s="8"/>
    </row>
    <row r="12" spans="2:26" x14ac:dyDescent="0.2">
      <c r="B12" s="8">
        <v>4</v>
      </c>
      <c r="C12" s="8">
        <v>2</v>
      </c>
      <c r="D12" s="8">
        <v>1E-3</v>
      </c>
      <c r="E12" s="8">
        <v>0.46565319999999999</v>
      </c>
      <c r="F12" s="8">
        <v>0.64292059999999995</v>
      </c>
      <c r="G12" s="8">
        <v>0.31428571</v>
      </c>
      <c r="H12" s="8">
        <v>0.43556030000000001</v>
      </c>
      <c r="I12" s="8">
        <v>9.29233E-2</v>
      </c>
      <c r="J12" s="8">
        <v>0.2836418</v>
      </c>
      <c r="K12" s="8">
        <v>0.16423071</v>
      </c>
      <c r="L12" s="8">
        <v>0.14568511000000001</v>
      </c>
      <c r="M12" s="5"/>
      <c r="N12" s="5" t="s">
        <v>20</v>
      </c>
      <c r="O12" s="5">
        <v>0.9</v>
      </c>
      <c r="P12" s="5"/>
      <c r="Q12" s="5"/>
      <c r="R12" s="22" t="s">
        <v>83</v>
      </c>
      <c r="T12">
        <v>52.172097000000001</v>
      </c>
      <c r="U12" s="62">
        <v>52.172097000000001</v>
      </c>
      <c r="V12" s="58">
        <v>1.6333700000000001E-3</v>
      </c>
      <c r="W12" s="63"/>
      <c r="X12" s="2"/>
      <c r="Y12" s="8"/>
    </row>
    <row r="13" spans="2:26" x14ac:dyDescent="0.2">
      <c r="B13" s="8">
        <v>5</v>
      </c>
      <c r="C13" s="8">
        <v>2</v>
      </c>
      <c r="D13" s="8">
        <v>1E-3</v>
      </c>
      <c r="E13" s="8">
        <v>0.46687060000000002</v>
      </c>
      <c r="F13" s="8">
        <v>0.65257940000000003</v>
      </c>
      <c r="G13" s="8">
        <v>0.37214286000000002</v>
      </c>
      <c r="H13" s="8">
        <v>0.49351660000000003</v>
      </c>
      <c r="I13" s="8">
        <v>9.2445150000000004E-2</v>
      </c>
      <c r="J13" s="8">
        <v>0.2292389</v>
      </c>
      <c r="K13" s="8">
        <v>0.20299365</v>
      </c>
      <c r="L13" s="8">
        <v>0.17243625000000001</v>
      </c>
      <c r="M13" s="5"/>
      <c r="N13" s="5" t="s">
        <v>19</v>
      </c>
      <c r="O13" s="5">
        <v>0.89090000000000003</v>
      </c>
      <c r="P13" s="5"/>
      <c r="Q13" s="5"/>
      <c r="R13" s="22" t="s">
        <v>84</v>
      </c>
      <c r="T13">
        <v>53.592314000000002</v>
      </c>
      <c r="U13" s="62">
        <v>53.592314000000002</v>
      </c>
      <c r="V13" s="58">
        <v>3.7519033E-2</v>
      </c>
      <c r="W13" s="63"/>
      <c r="X13" s="2"/>
      <c r="Y13" s="8"/>
    </row>
    <row r="14" spans="2:26" x14ac:dyDescent="0.2">
      <c r="B14" s="8">
        <v>6</v>
      </c>
      <c r="C14" s="8">
        <v>2</v>
      </c>
      <c r="D14" s="8">
        <v>1E-3</v>
      </c>
      <c r="E14" s="8">
        <v>0.46981040000000002</v>
      </c>
      <c r="F14" s="8">
        <v>0.62047620000000003</v>
      </c>
      <c r="G14" s="8">
        <v>0.33928571000000002</v>
      </c>
      <c r="H14" s="8">
        <v>0.45531709999999997</v>
      </c>
      <c r="I14" s="8">
        <v>9.3893260000000006E-2</v>
      </c>
      <c r="J14" s="8">
        <v>0.26120850000000001</v>
      </c>
      <c r="K14" s="8">
        <v>0.19784393</v>
      </c>
      <c r="L14" s="8">
        <v>0.16724571999999999</v>
      </c>
      <c r="M14" s="5"/>
      <c r="N14" s="5" t="s">
        <v>18</v>
      </c>
      <c r="O14" s="5">
        <v>0.89190000000000003</v>
      </c>
      <c r="P14" s="5"/>
      <c r="Q14" s="5"/>
      <c r="R14" s="22" t="s">
        <v>85</v>
      </c>
      <c r="T14">
        <v>49.749372999999999</v>
      </c>
      <c r="U14" s="62">
        <v>49.749372999999999</v>
      </c>
      <c r="V14" s="58">
        <v>3.8641696000000003E-2</v>
      </c>
      <c r="W14" s="63"/>
      <c r="X14" s="2"/>
      <c r="Y14" s="8"/>
    </row>
    <row r="15" spans="2:26" x14ac:dyDescent="0.2">
      <c r="B15" s="8">
        <v>7</v>
      </c>
      <c r="C15" s="8">
        <v>2</v>
      </c>
      <c r="D15" s="8">
        <v>1E-3</v>
      </c>
      <c r="E15" s="8">
        <v>0.4681652</v>
      </c>
      <c r="F15" s="8">
        <v>0.6052381</v>
      </c>
      <c r="G15" s="8">
        <v>0.33357143</v>
      </c>
      <c r="H15" s="8">
        <v>0.4523298</v>
      </c>
      <c r="I15" s="8">
        <v>9.512864E-2</v>
      </c>
      <c r="J15" s="8">
        <v>0.25348389999999998</v>
      </c>
      <c r="K15" s="8">
        <v>0.19361623</v>
      </c>
      <c r="L15" s="8">
        <v>0.16715168999999999</v>
      </c>
      <c r="M15" s="5"/>
      <c r="N15" s="5" t="s">
        <v>17</v>
      </c>
      <c r="O15" s="5">
        <v>0.64290000000000003</v>
      </c>
      <c r="P15" s="5"/>
      <c r="Q15" s="5"/>
      <c r="R15" s="22" t="s">
        <v>86</v>
      </c>
      <c r="T15">
        <v>49.081035999999997</v>
      </c>
      <c r="U15" s="62">
        <v>49.081035999999997</v>
      </c>
      <c r="V15" s="58">
        <v>1.6577123999999999E-2</v>
      </c>
      <c r="W15" s="63"/>
      <c r="X15" s="2"/>
      <c r="Y15" s="8"/>
    </row>
    <row r="16" spans="2:26" x14ac:dyDescent="0.2">
      <c r="B16" s="8">
        <v>8</v>
      </c>
      <c r="C16" s="8">
        <v>2</v>
      </c>
      <c r="D16" s="8">
        <v>1E-3</v>
      </c>
      <c r="E16" s="8">
        <v>0.46655829999999998</v>
      </c>
      <c r="F16" s="8">
        <v>0.6603175</v>
      </c>
      <c r="G16" s="8">
        <v>0.32142857000000002</v>
      </c>
      <c r="H16" s="8">
        <v>0.44705800000000001</v>
      </c>
      <c r="I16" s="8">
        <v>9.811657E-2</v>
      </c>
      <c r="J16" s="8">
        <v>0.23577090000000001</v>
      </c>
      <c r="K16" s="8">
        <v>0.17655107</v>
      </c>
      <c r="L16" s="8">
        <v>0.15451966</v>
      </c>
      <c r="M16" s="5"/>
      <c r="N16" s="5" t="s">
        <v>28</v>
      </c>
      <c r="O16" s="5">
        <v>0.62039999999999995</v>
      </c>
      <c r="P16" s="5"/>
      <c r="Q16" s="5"/>
      <c r="R16" s="22" t="s">
        <v>87</v>
      </c>
      <c r="T16">
        <v>40.643275000000003</v>
      </c>
      <c r="U16" s="62">
        <v>40.643275000000003</v>
      </c>
      <c r="V16" s="58">
        <v>5.5136650000000001E-3</v>
      </c>
      <c r="W16" s="63"/>
      <c r="X16" s="2"/>
      <c r="Y16" s="8"/>
    </row>
    <row r="17" spans="2:26" x14ac:dyDescent="0.2">
      <c r="B17" s="8">
        <v>9</v>
      </c>
      <c r="C17" s="8">
        <v>2</v>
      </c>
      <c r="D17" s="8">
        <v>1E-3</v>
      </c>
      <c r="E17" s="8">
        <v>0.46484579999999998</v>
      </c>
      <c r="F17" s="8">
        <v>0.678373</v>
      </c>
      <c r="G17" s="8">
        <v>0.31642857000000002</v>
      </c>
      <c r="H17" s="8">
        <v>0.43974190000000002</v>
      </c>
      <c r="I17" s="8">
        <v>9.6693070000000006E-2</v>
      </c>
      <c r="J17" s="8">
        <v>0.2548165</v>
      </c>
      <c r="K17" s="8">
        <v>0.19834830000000001</v>
      </c>
      <c r="L17" s="8">
        <v>0.16886416000000001</v>
      </c>
      <c r="M17" s="5"/>
      <c r="N17" s="5" t="s">
        <v>33</v>
      </c>
      <c r="O17" s="5">
        <v>0.74329999999999996</v>
      </c>
      <c r="P17" s="5"/>
      <c r="Q17" s="5"/>
      <c r="R17" s="22" t="s">
        <v>88</v>
      </c>
      <c r="T17">
        <v>41.645780999999999</v>
      </c>
      <c r="U17" s="62">
        <v>41.645780999999999</v>
      </c>
      <c r="V17" s="58">
        <v>1.1859668E-2</v>
      </c>
      <c r="W17" s="63"/>
      <c r="X17" s="2"/>
      <c r="Y17" s="8"/>
    </row>
    <row r="18" spans="2:26" x14ac:dyDescent="0.2">
      <c r="B18" s="8">
        <v>10</v>
      </c>
      <c r="C18" s="8">
        <v>2</v>
      </c>
      <c r="D18" s="8">
        <v>1E-3</v>
      </c>
      <c r="E18" s="8">
        <v>0.46584219999999998</v>
      </c>
      <c r="F18" s="8">
        <v>0.66666669999999995</v>
      </c>
      <c r="G18" s="8">
        <v>0.30499999999999999</v>
      </c>
      <c r="H18" s="8">
        <v>0.43757639999999998</v>
      </c>
      <c r="I18" s="8">
        <v>9.5949290000000007E-2</v>
      </c>
      <c r="J18" s="8">
        <v>0.25528240000000002</v>
      </c>
      <c r="K18" s="8">
        <v>0.15532635</v>
      </c>
      <c r="L18" s="8">
        <v>0.13896750999999999</v>
      </c>
      <c r="M18" s="5"/>
      <c r="N18" s="5"/>
      <c r="O18" s="5"/>
      <c r="P18" s="5"/>
      <c r="Q18" s="5"/>
      <c r="R18" s="22" t="s">
        <v>122</v>
      </c>
      <c r="U18" s="62"/>
      <c r="V18" s="58">
        <v>8.4960499999999998E-3</v>
      </c>
      <c r="W18" s="63"/>
      <c r="X18" s="2"/>
      <c r="Y18" s="8"/>
      <c r="Z18" s="8"/>
    </row>
    <row r="19" spans="2:26" x14ac:dyDescent="0.2">
      <c r="B19" s="8">
        <v>0.01</v>
      </c>
      <c r="C19" s="8">
        <v>2</v>
      </c>
      <c r="D19" s="8">
        <v>0.01</v>
      </c>
      <c r="E19" s="8">
        <v>0.4670646</v>
      </c>
      <c r="F19" s="8">
        <v>0.64438099999999998</v>
      </c>
      <c r="G19" s="8">
        <v>0.32500000000000001</v>
      </c>
      <c r="H19" s="8">
        <v>0.44990560000000002</v>
      </c>
      <c r="I19" s="8">
        <v>9.2357449999999994E-2</v>
      </c>
      <c r="J19" s="8">
        <v>0.27010679999999998</v>
      </c>
      <c r="K19" s="8">
        <v>0.17042426999999999</v>
      </c>
      <c r="L19" s="8">
        <v>0.14481678000000001</v>
      </c>
      <c r="M19" s="5"/>
      <c r="N19" s="49" t="s">
        <v>35</v>
      </c>
      <c r="O19" s="49"/>
      <c r="P19" s="49"/>
      <c r="Q19" s="5"/>
      <c r="R19" s="22" t="s">
        <v>89</v>
      </c>
      <c r="T19">
        <v>55.096074000000002</v>
      </c>
      <c r="U19" s="62">
        <v>55.096074000000002</v>
      </c>
      <c r="V19" s="62"/>
      <c r="W19" s="63"/>
      <c r="X19" s="2"/>
      <c r="Y19" s="8"/>
    </row>
    <row r="20" spans="2:26" x14ac:dyDescent="0.2">
      <c r="B20" s="8">
        <v>0.1</v>
      </c>
      <c r="C20" s="8">
        <v>2</v>
      </c>
      <c r="D20" s="8">
        <v>0.01</v>
      </c>
      <c r="E20" s="8">
        <v>0.46902899999999997</v>
      </c>
      <c r="F20" s="8">
        <v>0.64411379999999996</v>
      </c>
      <c r="G20" s="8">
        <v>0.35428570999999998</v>
      </c>
      <c r="H20" s="8">
        <v>0.469308</v>
      </c>
      <c r="I20" s="8">
        <v>9.4713229999999995E-2</v>
      </c>
      <c r="J20" s="8">
        <v>0.2273029</v>
      </c>
      <c r="K20" s="8">
        <v>0.19996014000000001</v>
      </c>
      <c r="L20" s="8">
        <v>0.16296173</v>
      </c>
      <c r="M20" s="5"/>
      <c r="N20" s="9" t="s">
        <v>109</v>
      </c>
      <c r="O20" s="9" t="s">
        <v>10</v>
      </c>
      <c r="P20" s="9" t="s">
        <v>11</v>
      </c>
      <c r="Q20" s="5"/>
      <c r="R20" s="22" t="s">
        <v>123</v>
      </c>
      <c r="U20" s="62"/>
      <c r="V20" s="58">
        <v>7.2640892999999998E-2</v>
      </c>
      <c r="W20" s="63"/>
      <c r="X20" s="2"/>
      <c r="Y20" s="8"/>
    </row>
    <row r="21" spans="2:26" x14ac:dyDescent="0.2">
      <c r="B21" s="8">
        <v>0.5</v>
      </c>
      <c r="C21" s="8">
        <v>2</v>
      </c>
      <c r="D21" s="8">
        <v>0.01</v>
      </c>
      <c r="E21" s="8">
        <v>0.47044750000000002</v>
      </c>
      <c r="F21" s="8">
        <v>0.61423810000000001</v>
      </c>
      <c r="G21" s="8">
        <v>0.36642857000000001</v>
      </c>
      <c r="H21" s="8">
        <v>0.48381469999999999</v>
      </c>
      <c r="I21" s="8">
        <v>9.6588240000000006E-2</v>
      </c>
      <c r="J21" s="8">
        <v>0.25383689999999998</v>
      </c>
      <c r="K21" s="8">
        <v>0.19480662000000001</v>
      </c>
      <c r="L21" s="8">
        <v>0.16401868</v>
      </c>
      <c r="M21" s="5"/>
      <c r="N21" s="9" t="s">
        <v>8</v>
      </c>
      <c r="O21" s="10">
        <v>1</v>
      </c>
      <c r="P21" s="10">
        <v>0</v>
      </c>
      <c r="Q21" s="5"/>
      <c r="R21" s="22" t="s">
        <v>90</v>
      </c>
      <c r="T21">
        <v>44.402673</v>
      </c>
      <c r="U21" s="62">
        <v>44.402673</v>
      </c>
      <c r="V21" s="62"/>
      <c r="W21" s="63"/>
      <c r="X21" s="2"/>
      <c r="Y21" s="8"/>
    </row>
    <row r="22" spans="2:26" x14ac:dyDescent="0.2">
      <c r="B22" s="8">
        <v>1</v>
      </c>
      <c r="C22" s="8">
        <v>2</v>
      </c>
      <c r="D22" s="8">
        <v>0.01</v>
      </c>
      <c r="E22" s="8">
        <v>0.4681708</v>
      </c>
      <c r="F22" s="8">
        <v>0.70238100000000003</v>
      </c>
      <c r="G22" s="8">
        <v>0.32571429000000002</v>
      </c>
      <c r="H22" s="8">
        <v>0.44978069999999998</v>
      </c>
      <c r="I22" s="8">
        <v>0.10756567</v>
      </c>
      <c r="J22" s="8">
        <v>0.28578290000000001</v>
      </c>
      <c r="K22" s="8">
        <v>0.20775515</v>
      </c>
      <c r="L22" s="8">
        <v>0.17583577</v>
      </c>
      <c r="M22" s="5"/>
      <c r="N22" s="9" t="s">
        <v>9</v>
      </c>
      <c r="O22" s="10">
        <v>8</v>
      </c>
      <c r="P22" s="10">
        <v>37</v>
      </c>
      <c r="Q22" s="5"/>
      <c r="R22" s="22" t="s">
        <v>91</v>
      </c>
      <c r="T22">
        <v>38.930660000000003</v>
      </c>
      <c r="U22" s="62">
        <v>38.930660000000003</v>
      </c>
      <c r="V22" s="62"/>
      <c r="W22" s="63"/>
      <c r="X22" s="2"/>
      <c r="Y22" s="8"/>
    </row>
    <row r="23" spans="2:26" x14ac:dyDescent="0.2">
      <c r="B23" s="8">
        <v>2</v>
      </c>
      <c r="C23" s="8">
        <v>2</v>
      </c>
      <c r="D23" s="8">
        <v>0.01</v>
      </c>
      <c r="E23" s="8">
        <v>0.46936830000000002</v>
      </c>
      <c r="F23" s="8">
        <v>0.66111109999999995</v>
      </c>
      <c r="G23" s="8">
        <v>0.27285714</v>
      </c>
      <c r="H23" s="8">
        <v>0.45748640000000002</v>
      </c>
      <c r="I23" s="8">
        <v>0.104591</v>
      </c>
      <c r="J23" s="8">
        <v>0.36493880000000001</v>
      </c>
      <c r="K23" s="8">
        <v>0.19174060000000001</v>
      </c>
      <c r="L23" s="8">
        <v>0.15952821</v>
      </c>
      <c r="M23" s="5"/>
      <c r="N23" s="5"/>
      <c r="O23" s="5"/>
      <c r="P23" s="5"/>
      <c r="Q23" s="5"/>
      <c r="R23" s="22" t="s">
        <v>92</v>
      </c>
      <c r="T23">
        <v>24.519632000000001</v>
      </c>
      <c r="U23" s="62">
        <v>24.519632000000001</v>
      </c>
      <c r="V23" s="62"/>
      <c r="W23" s="63"/>
      <c r="X23" s="2"/>
      <c r="Y23" s="8"/>
    </row>
    <row r="24" spans="2:26" x14ac:dyDescent="0.2">
      <c r="B24" s="8">
        <v>3</v>
      </c>
      <c r="C24" s="8">
        <v>2</v>
      </c>
      <c r="D24" s="8">
        <v>0.01</v>
      </c>
      <c r="E24" s="8">
        <v>0.45780739999999998</v>
      </c>
      <c r="F24" s="8">
        <v>0.75797099999999995</v>
      </c>
      <c r="G24" s="8">
        <v>0.27500000000000002</v>
      </c>
      <c r="H24" s="8">
        <v>0.40083269999999999</v>
      </c>
      <c r="I24" s="8">
        <v>9.4254619999999997E-2</v>
      </c>
      <c r="J24" s="8">
        <v>0.21677560000000001</v>
      </c>
      <c r="K24" s="8">
        <v>0.16439243000000001</v>
      </c>
      <c r="L24" s="8">
        <v>0.14506605</v>
      </c>
      <c r="M24" s="5"/>
      <c r="N24" s="51" t="s">
        <v>69</v>
      </c>
      <c r="O24" s="51"/>
      <c r="P24" s="5"/>
      <c r="Q24" s="5"/>
      <c r="R24" s="22" t="s">
        <v>93</v>
      </c>
      <c r="T24">
        <v>38.053466999999998</v>
      </c>
      <c r="U24" s="62">
        <v>38.053466999999998</v>
      </c>
      <c r="V24" s="62"/>
      <c r="W24" s="63"/>
      <c r="X24" s="2"/>
      <c r="Y24" s="8"/>
    </row>
    <row r="25" spans="2:26" x14ac:dyDescent="0.2">
      <c r="B25" s="8">
        <v>4</v>
      </c>
      <c r="C25" s="8">
        <v>2</v>
      </c>
      <c r="D25" s="8">
        <v>0.01</v>
      </c>
      <c r="E25" s="8">
        <v>0.45911570000000002</v>
      </c>
      <c r="F25" s="8">
        <v>0.78197280000000002</v>
      </c>
      <c r="G25" s="8">
        <v>0.23428571000000001</v>
      </c>
      <c r="H25" s="8">
        <v>0.38702330000000001</v>
      </c>
      <c r="I25" s="8">
        <v>9.0048810000000007E-2</v>
      </c>
      <c r="J25" s="8">
        <v>0.23624709999999999</v>
      </c>
      <c r="K25" s="8">
        <v>0.14755303</v>
      </c>
      <c r="L25" s="8">
        <v>0.11529259</v>
      </c>
      <c r="M25" s="5"/>
      <c r="N25" s="5" t="s">
        <v>22</v>
      </c>
      <c r="O25" s="5">
        <v>0.1111</v>
      </c>
      <c r="P25" s="5"/>
      <c r="Q25" s="5"/>
      <c r="R25" s="22" t="s">
        <v>124</v>
      </c>
      <c r="U25" s="62"/>
      <c r="V25" s="58">
        <v>9.489417E-2</v>
      </c>
      <c r="W25" s="63"/>
      <c r="X25" s="2"/>
      <c r="Y25" s="8"/>
    </row>
    <row r="26" spans="2:26" x14ac:dyDescent="0.2">
      <c r="B26" s="8">
        <v>5</v>
      </c>
      <c r="C26" s="8">
        <v>2</v>
      </c>
      <c r="D26" s="8">
        <v>0.01</v>
      </c>
      <c r="E26" s="8">
        <v>0.44842919999999997</v>
      </c>
      <c r="F26" s="8">
        <v>0.7263889</v>
      </c>
      <c r="G26" s="8">
        <v>0.23857143</v>
      </c>
      <c r="H26" s="8">
        <v>0.3704655</v>
      </c>
      <c r="I26" s="8">
        <v>8.7460350000000006E-2</v>
      </c>
      <c r="J26" s="8">
        <v>0.27927249999999998</v>
      </c>
      <c r="K26" s="8">
        <v>0.11362812999999999</v>
      </c>
      <c r="L26" s="8">
        <v>0.11046644</v>
      </c>
      <c r="M26" s="5"/>
      <c r="N26" s="5" t="s">
        <v>21</v>
      </c>
      <c r="O26" s="5">
        <v>1</v>
      </c>
      <c r="P26" s="5"/>
      <c r="Q26" s="5"/>
      <c r="R26" s="22" t="s">
        <v>94</v>
      </c>
      <c r="T26">
        <v>2.2974100000000002</v>
      </c>
      <c r="U26" s="62">
        <v>2.2974100000000002</v>
      </c>
      <c r="V26" s="62"/>
      <c r="W26" s="63"/>
      <c r="X26" s="2"/>
      <c r="Y26" s="8"/>
    </row>
    <row r="27" spans="2:26" x14ac:dyDescent="0.2">
      <c r="B27" s="8">
        <v>6</v>
      </c>
      <c r="C27" s="8">
        <v>2</v>
      </c>
      <c r="D27" s="8">
        <v>0.01</v>
      </c>
      <c r="E27" s="8">
        <v>0.44860149999999999</v>
      </c>
      <c r="F27" s="8">
        <v>0.74015149999999996</v>
      </c>
      <c r="G27" s="8">
        <v>0.25142857000000002</v>
      </c>
      <c r="H27" s="8">
        <v>0.41388799999999998</v>
      </c>
      <c r="I27" s="8">
        <v>9.1252169999999994E-2</v>
      </c>
      <c r="J27" s="8">
        <v>0.28240549999999998</v>
      </c>
      <c r="K27" s="8">
        <v>0.15795582</v>
      </c>
      <c r="L27" s="8">
        <v>0.13301075000000001</v>
      </c>
      <c r="M27" s="5"/>
      <c r="N27" s="5" t="s">
        <v>20</v>
      </c>
      <c r="O27" s="5">
        <v>1</v>
      </c>
      <c r="P27" s="5"/>
      <c r="Q27" s="5"/>
      <c r="R27" s="22" t="s">
        <v>95</v>
      </c>
      <c r="T27">
        <v>20.676691999999999</v>
      </c>
      <c r="U27" s="62">
        <v>20.676691999999999</v>
      </c>
      <c r="V27" s="62"/>
      <c r="W27" s="63"/>
      <c r="X27" s="2"/>
      <c r="Y27" s="8"/>
    </row>
    <row r="28" spans="2:26" x14ac:dyDescent="0.2">
      <c r="B28" s="8">
        <v>7</v>
      </c>
      <c r="C28" s="8">
        <v>2</v>
      </c>
      <c r="D28" s="8">
        <v>0.01</v>
      </c>
      <c r="E28" s="8">
        <v>0.44909179999999999</v>
      </c>
      <c r="F28" s="8">
        <v>0.69047619999999998</v>
      </c>
      <c r="G28" s="8">
        <v>0.18285714</v>
      </c>
      <c r="H28" s="8">
        <v>0.35055819999999999</v>
      </c>
      <c r="I28" s="8">
        <v>9.2065649999999999E-2</v>
      </c>
      <c r="J28" s="8">
        <v>0.33555810000000003</v>
      </c>
      <c r="K28" s="8">
        <v>0.13621852000000001</v>
      </c>
      <c r="L28" s="8">
        <v>0.1260339</v>
      </c>
      <c r="M28" s="5"/>
      <c r="N28" s="5" t="s">
        <v>19</v>
      </c>
      <c r="O28" s="5">
        <v>0.82220000000000004</v>
      </c>
      <c r="P28" s="5"/>
      <c r="Q28" s="5"/>
      <c r="R28" s="22" t="s">
        <v>96</v>
      </c>
      <c r="T28">
        <v>34.544694999999997</v>
      </c>
      <c r="U28" s="62">
        <v>34.544694999999997</v>
      </c>
      <c r="V28" s="62"/>
      <c r="W28" s="63"/>
      <c r="X28" s="19"/>
      <c r="Y28" s="19"/>
      <c r="Z28" s="19"/>
    </row>
    <row r="29" spans="2:26" x14ac:dyDescent="0.2">
      <c r="B29" s="8">
        <v>8</v>
      </c>
      <c r="C29" s="8">
        <v>2</v>
      </c>
      <c r="D29" s="8">
        <v>0.01</v>
      </c>
      <c r="E29" s="8">
        <v>0.43697200000000003</v>
      </c>
      <c r="F29" s="8">
        <v>0.66666669999999995</v>
      </c>
      <c r="G29" s="8">
        <v>0.15571429000000001</v>
      </c>
      <c r="H29" s="8">
        <v>0.36578280000000002</v>
      </c>
      <c r="I29" s="8">
        <v>9.1992180000000007E-2</v>
      </c>
      <c r="J29" s="8">
        <v>0.38616420000000001</v>
      </c>
      <c r="K29" s="8">
        <v>0.13516492999999999</v>
      </c>
      <c r="L29" s="8">
        <v>0.10151013</v>
      </c>
      <c r="M29" s="9"/>
      <c r="N29" s="5" t="s">
        <v>18</v>
      </c>
      <c r="O29" s="5">
        <v>0.82609999999999995</v>
      </c>
      <c r="P29" s="5"/>
      <c r="Q29" s="5"/>
      <c r="R29" s="22" t="s">
        <v>97</v>
      </c>
      <c r="T29">
        <v>3.2581449999999998</v>
      </c>
      <c r="U29" s="62">
        <v>3.2581449999999998</v>
      </c>
      <c r="V29" s="62"/>
      <c r="W29" s="63"/>
      <c r="X29" s="19"/>
      <c r="Y29" s="19"/>
      <c r="Z29" s="19"/>
    </row>
    <row r="30" spans="2:26" x14ac:dyDescent="0.2">
      <c r="B30" s="8">
        <v>9</v>
      </c>
      <c r="C30" s="8">
        <v>2</v>
      </c>
      <c r="D30" s="8">
        <v>0.01</v>
      </c>
      <c r="E30" s="8">
        <v>0.43387940000000003</v>
      </c>
      <c r="F30" s="8">
        <v>0.75</v>
      </c>
      <c r="G30" s="8">
        <v>0.17785714</v>
      </c>
      <c r="H30" s="8">
        <v>0.33156180000000002</v>
      </c>
      <c r="I30" s="8">
        <v>9.3715740000000006E-2</v>
      </c>
      <c r="J30" s="8">
        <v>0.34020689999999998</v>
      </c>
      <c r="K30" s="8">
        <v>0.12799141999999999</v>
      </c>
      <c r="L30" s="8">
        <v>0.11751722000000001</v>
      </c>
      <c r="M30" s="10"/>
      <c r="N30" s="5" t="s">
        <v>17</v>
      </c>
      <c r="O30" s="5">
        <v>0.2</v>
      </c>
      <c r="P30" s="5"/>
      <c r="Q30" s="5"/>
      <c r="R30" s="22" t="s">
        <v>98</v>
      </c>
      <c r="T30">
        <v>0</v>
      </c>
      <c r="U30" s="62">
        <v>0</v>
      </c>
      <c r="V30" s="62"/>
      <c r="W30" s="63"/>
      <c r="X30" s="19"/>
      <c r="Y30" s="19"/>
      <c r="Z30" s="19"/>
    </row>
    <row r="31" spans="2:26" x14ac:dyDescent="0.2">
      <c r="B31" s="8">
        <v>10</v>
      </c>
      <c r="C31" s="8">
        <v>2</v>
      </c>
      <c r="D31" s="8">
        <v>0.01</v>
      </c>
      <c r="E31" s="8">
        <v>0.43128119999999998</v>
      </c>
      <c r="F31" s="8">
        <v>0.69523809999999997</v>
      </c>
      <c r="G31" s="8">
        <v>0.17357143</v>
      </c>
      <c r="H31" s="8">
        <v>0.3579966</v>
      </c>
      <c r="I31" s="8">
        <v>9.1871739999999993E-2</v>
      </c>
      <c r="J31" s="8">
        <v>0.35657100000000003</v>
      </c>
      <c r="K31" s="8">
        <v>0.13672867</v>
      </c>
      <c r="L31" s="8">
        <v>0.11445742</v>
      </c>
      <c r="M31" s="10"/>
      <c r="N31" s="5" t="s">
        <v>28</v>
      </c>
      <c r="O31" s="5">
        <v>0.30225000000000002</v>
      </c>
      <c r="P31" s="5"/>
      <c r="Q31" s="5"/>
      <c r="R31" s="22" t="s">
        <v>129</v>
      </c>
      <c r="U31" s="62"/>
      <c r="V31" s="58">
        <v>1.957163E-2</v>
      </c>
      <c r="W31" s="63"/>
      <c r="X31" s="19"/>
      <c r="Y31" s="19"/>
      <c r="Z31" s="19"/>
    </row>
    <row r="32" spans="2:26" x14ac:dyDescent="0.2">
      <c r="B32" s="8">
        <v>0.01</v>
      </c>
      <c r="C32" s="8">
        <v>2</v>
      </c>
      <c r="D32" s="8">
        <v>0.1</v>
      </c>
      <c r="E32" s="8">
        <v>0.46313500000000002</v>
      </c>
      <c r="F32" s="8">
        <v>0.6649524</v>
      </c>
      <c r="G32" s="8">
        <v>0.38928571000000001</v>
      </c>
      <c r="H32" s="8">
        <v>0.49384090000000003</v>
      </c>
      <c r="I32" s="8">
        <v>0.1109653</v>
      </c>
      <c r="J32" s="8">
        <v>0.23619029999999999</v>
      </c>
      <c r="K32" s="8">
        <v>0.17961007000000001</v>
      </c>
      <c r="L32" s="8">
        <v>0.15572333999999999</v>
      </c>
      <c r="M32" s="10"/>
      <c r="N32" s="5" t="s">
        <v>33</v>
      </c>
      <c r="O32" s="5">
        <v>0.55559999999999998</v>
      </c>
      <c r="P32" s="5"/>
      <c r="Q32" s="5"/>
      <c r="R32" s="22" t="s">
        <v>99</v>
      </c>
      <c r="T32">
        <v>60.192146999999999</v>
      </c>
      <c r="U32" s="62">
        <v>60.192146999999999</v>
      </c>
      <c r="V32" s="62"/>
      <c r="W32" s="63"/>
      <c r="X32" s="19"/>
      <c r="Y32" s="19"/>
      <c r="Z32" s="19"/>
    </row>
    <row r="33" spans="2:26" x14ac:dyDescent="0.2">
      <c r="B33" s="8">
        <v>0.1</v>
      </c>
      <c r="C33" s="8">
        <v>2</v>
      </c>
      <c r="D33" s="8">
        <v>0.1</v>
      </c>
      <c r="E33" s="8">
        <v>0.44137300000000002</v>
      </c>
      <c r="F33" s="8">
        <v>0.65507939999999998</v>
      </c>
      <c r="G33" s="8">
        <v>0.29499999999999998</v>
      </c>
      <c r="H33" s="8">
        <v>0.41790060000000001</v>
      </c>
      <c r="I33" s="8">
        <v>9.6527810000000006E-2</v>
      </c>
      <c r="J33" s="8">
        <v>0.29930499999999999</v>
      </c>
      <c r="K33" s="8">
        <v>0.16269611</v>
      </c>
      <c r="L33" s="8">
        <v>0.13259852999999999</v>
      </c>
      <c r="M33" s="5"/>
      <c r="N33" s="5"/>
      <c r="O33" s="5"/>
      <c r="P33" s="5"/>
      <c r="Q33" s="5"/>
      <c r="R33" s="22" t="s">
        <v>128</v>
      </c>
      <c r="U33" s="62"/>
      <c r="V33" s="58">
        <v>3.9528699999999998E-3</v>
      </c>
      <c r="W33" s="63"/>
      <c r="X33" s="19"/>
      <c r="Y33" s="19"/>
      <c r="Z33" s="19"/>
    </row>
    <row r="34" spans="2:26" x14ac:dyDescent="0.2">
      <c r="B34" s="8">
        <v>0.5</v>
      </c>
      <c r="C34" s="8">
        <v>2</v>
      </c>
      <c r="D34" s="8">
        <v>0.1</v>
      </c>
      <c r="E34" s="8">
        <v>0.36325659999999999</v>
      </c>
      <c r="F34" s="8">
        <v>0.61666670000000001</v>
      </c>
      <c r="G34" s="8">
        <v>0.18</v>
      </c>
      <c r="H34" s="8">
        <v>0.31429879999999999</v>
      </c>
      <c r="I34" s="8">
        <v>9.751253E-2</v>
      </c>
      <c r="J34" s="8">
        <v>0.29354160000000001</v>
      </c>
      <c r="K34" s="8">
        <v>0.11989136</v>
      </c>
      <c r="L34" s="8">
        <v>9.8682660000000005E-2</v>
      </c>
      <c r="M34" s="5"/>
      <c r="N34" s="6" t="s">
        <v>72</v>
      </c>
      <c r="O34" s="6"/>
      <c r="P34" s="5"/>
      <c r="Q34" s="5"/>
      <c r="R34" s="22" t="s">
        <v>100</v>
      </c>
      <c r="T34">
        <v>54.845447</v>
      </c>
      <c r="U34" s="62">
        <v>54.845447</v>
      </c>
      <c r="V34" s="62"/>
      <c r="W34" s="63"/>
      <c r="X34" s="19"/>
      <c r="Y34" s="19"/>
      <c r="Z34" s="19"/>
    </row>
    <row r="35" spans="2:26" x14ac:dyDescent="0.2">
      <c r="B35" s="8">
        <v>1</v>
      </c>
      <c r="C35" s="8">
        <v>2</v>
      </c>
      <c r="D35" s="8">
        <v>0.1</v>
      </c>
      <c r="E35" s="8">
        <v>0.36092800000000003</v>
      </c>
      <c r="F35" s="8">
        <v>0.60333329999999996</v>
      </c>
      <c r="G35" s="8">
        <v>0.15714286</v>
      </c>
      <c r="H35" s="8">
        <v>0.31770480000000001</v>
      </c>
      <c r="I35" s="8">
        <v>9.2415600000000001E-2</v>
      </c>
      <c r="J35" s="8">
        <v>0.35390880000000002</v>
      </c>
      <c r="K35" s="8">
        <v>0.12489366</v>
      </c>
      <c r="L35" s="8">
        <v>0.12168487</v>
      </c>
      <c r="M35" s="5"/>
      <c r="N35" s="5" t="s">
        <v>38</v>
      </c>
      <c r="O35" s="5" t="s">
        <v>4</v>
      </c>
      <c r="P35" s="5"/>
      <c r="Q35" s="5"/>
      <c r="R35" s="22" t="s">
        <v>127</v>
      </c>
      <c r="U35" s="62"/>
      <c r="V35" s="58">
        <v>7.4747363999999997E-2</v>
      </c>
      <c r="W35" s="63"/>
      <c r="X35" s="19"/>
      <c r="Y35" s="19"/>
      <c r="Z35" s="19"/>
    </row>
    <row r="36" spans="2:26" x14ac:dyDescent="0.2">
      <c r="B36" s="8">
        <v>2</v>
      </c>
      <c r="C36" s="8">
        <v>2</v>
      </c>
      <c r="D36" s="8">
        <v>0.1</v>
      </c>
      <c r="E36" s="8">
        <v>0.36116579999999998</v>
      </c>
      <c r="F36" s="8">
        <v>0.56349210000000005</v>
      </c>
      <c r="G36" s="8">
        <v>0.15714286</v>
      </c>
      <c r="H36" s="8">
        <v>0.30973630000000002</v>
      </c>
      <c r="I36" s="8">
        <v>9.3021019999999996E-2</v>
      </c>
      <c r="J36" s="8">
        <v>0.34994520000000001</v>
      </c>
      <c r="K36" s="8">
        <v>0.13152606999999999</v>
      </c>
      <c r="L36" s="8">
        <v>0.11708779</v>
      </c>
      <c r="M36" s="5"/>
      <c r="N36" s="16" t="s">
        <v>73</v>
      </c>
      <c r="O36" s="16">
        <v>0.46741070000000001</v>
      </c>
      <c r="P36" s="5"/>
      <c r="Q36" s="5"/>
      <c r="R36" s="22" t="s">
        <v>101</v>
      </c>
      <c r="T36">
        <v>33.375104</v>
      </c>
      <c r="U36" s="62">
        <v>33.375104</v>
      </c>
      <c r="V36" s="62"/>
      <c r="W36" s="62"/>
    </row>
    <row r="37" spans="2:26" x14ac:dyDescent="0.2">
      <c r="B37" s="8">
        <v>3</v>
      </c>
      <c r="C37" s="8">
        <v>2</v>
      </c>
      <c r="D37" s="8">
        <v>0.1</v>
      </c>
      <c r="E37" s="8">
        <v>0.36116579999999998</v>
      </c>
      <c r="F37" s="8">
        <v>0.60555559999999997</v>
      </c>
      <c r="G37" s="8">
        <v>0.16857142999999999</v>
      </c>
      <c r="H37" s="8">
        <v>0.30091489999999999</v>
      </c>
      <c r="I37" s="8">
        <v>9.3021019999999996E-2</v>
      </c>
      <c r="J37" s="8">
        <v>0.31960620000000001</v>
      </c>
      <c r="K37" s="8">
        <v>0.11755915</v>
      </c>
      <c r="L37" s="8">
        <v>0.11393300000000001</v>
      </c>
      <c r="N37" s="16" t="s">
        <v>74</v>
      </c>
      <c r="O37" s="16">
        <v>0.4211819</v>
      </c>
      <c r="P37" s="5"/>
      <c r="Q37" s="5"/>
      <c r="R37" s="22" t="s">
        <v>102</v>
      </c>
      <c r="T37">
        <v>15.288221</v>
      </c>
      <c r="U37">
        <v>15.288221</v>
      </c>
    </row>
    <row r="38" spans="2:26" x14ac:dyDescent="0.2">
      <c r="B38" s="8">
        <v>4</v>
      </c>
      <c r="C38" s="8">
        <v>2</v>
      </c>
      <c r="D38" s="8">
        <v>0.1</v>
      </c>
      <c r="E38" s="8">
        <v>0.36116579999999998</v>
      </c>
      <c r="F38" s="8">
        <v>0.6214286</v>
      </c>
      <c r="G38" s="8">
        <v>0.18857143000000001</v>
      </c>
      <c r="H38" s="8">
        <v>0.35039870000000001</v>
      </c>
      <c r="I38" s="8">
        <v>9.3021019999999996E-2</v>
      </c>
      <c r="J38" s="8">
        <v>0.33191959999999998</v>
      </c>
      <c r="K38" s="8">
        <v>0.13746133999999999</v>
      </c>
      <c r="L38" s="8">
        <v>0.12259436999999999</v>
      </c>
      <c r="N38" s="16" t="s">
        <v>75</v>
      </c>
      <c r="O38" s="16">
        <v>0.47155229999999998</v>
      </c>
      <c r="P38" s="5"/>
      <c r="Q38" s="5"/>
      <c r="R38" s="22" t="s">
        <v>103</v>
      </c>
      <c r="T38">
        <v>47.159565999999998</v>
      </c>
      <c r="U38">
        <v>47.159565999999998</v>
      </c>
    </row>
    <row r="39" spans="2:26" x14ac:dyDescent="0.2">
      <c r="B39" s="8">
        <v>5</v>
      </c>
      <c r="C39" s="8">
        <v>2</v>
      </c>
      <c r="D39" s="8">
        <v>0.1</v>
      </c>
      <c r="E39" s="8">
        <v>0.36116579999999998</v>
      </c>
      <c r="F39" s="8">
        <v>0.54206350000000003</v>
      </c>
      <c r="G39" s="8">
        <v>0.16214286</v>
      </c>
      <c r="H39" s="8">
        <v>0.30158059999999998</v>
      </c>
      <c r="I39" s="8">
        <v>9.3021019999999996E-2</v>
      </c>
      <c r="J39" s="8">
        <v>0.31761349999999999</v>
      </c>
      <c r="K39" s="8">
        <v>0.11911308</v>
      </c>
      <c r="L39" s="8">
        <v>0.10923208</v>
      </c>
      <c r="N39" s="16" t="s">
        <v>76</v>
      </c>
      <c r="O39" s="16">
        <v>0.48389389999999999</v>
      </c>
      <c r="P39" s="5"/>
      <c r="Q39" s="5"/>
      <c r="R39" s="22" t="s">
        <v>126</v>
      </c>
      <c r="V39" s="8">
        <v>3.3531791999999998E-2</v>
      </c>
    </row>
    <row r="40" spans="2:26" x14ac:dyDescent="0.2">
      <c r="B40" s="8">
        <v>6</v>
      </c>
      <c r="C40" s="8">
        <v>2</v>
      </c>
      <c r="D40" s="8">
        <v>0.1</v>
      </c>
      <c r="E40" s="8">
        <v>0.36116579999999998</v>
      </c>
      <c r="F40" s="8">
        <v>0.59469700000000003</v>
      </c>
      <c r="G40" s="8">
        <v>0.17785714</v>
      </c>
      <c r="H40" s="8">
        <v>0.3184343</v>
      </c>
      <c r="I40" s="8">
        <v>9.3021019999999996E-2</v>
      </c>
      <c r="J40" s="8">
        <v>0.35747449999999997</v>
      </c>
      <c r="K40" s="8">
        <v>0.11737818</v>
      </c>
      <c r="L40" s="8">
        <v>0.11446376</v>
      </c>
      <c r="N40" s="16" t="s">
        <v>77</v>
      </c>
      <c r="O40" s="16">
        <v>0.50132350000000003</v>
      </c>
      <c r="P40" s="5"/>
      <c r="Q40" s="5"/>
      <c r="R40" s="22" t="s">
        <v>104</v>
      </c>
      <c r="T40">
        <v>47.577277000000002</v>
      </c>
      <c r="U40">
        <v>47.577277000000002</v>
      </c>
    </row>
    <row r="41" spans="2:26" x14ac:dyDescent="0.2">
      <c r="B41" s="8">
        <v>7</v>
      </c>
      <c r="C41" s="8">
        <v>2</v>
      </c>
      <c r="D41" s="8">
        <v>0.1</v>
      </c>
      <c r="E41" s="8">
        <v>0.36116579999999998</v>
      </c>
      <c r="F41" s="8">
        <v>0.63809519999999997</v>
      </c>
      <c r="G41" s="8">
        <v>0.18071429</v>
      </c>
      <c r="H41" s="8">
        <v>0.33099620000000002</v>
      </c>
      <c r="I41" s="8">
        <v>9.3021019999999996E-2</v>
      </c>
      <c r="J41" s="8">
        <v>0.34448600000000001</v>
      </c>
      <c r="K41" s="8">
        <v>0.14073195999999999</v>
      </c>
      <c r="L41" s="8">
        <v>0.12150985</v>
      </c>
      <c r="P41" s="5"/>
      <c r="Q41" s="5"/>
      <c r="R41" s="22" t="s">
        <v>125</v>
      </c>
      <c r="V41" s="8">
        <v>6.5865511000000002E-2</v>
      </c>
    </row>
    <row r="42" spans="2:26" x14ac:dyDescent="0.2">
      <c r="B42" s="8">
        <v>8</v>
      </c>
      <c r="C42" s="8">
        <v>2</v>
      </c>
      <c r="D42" s="8">
        <v>0.1</v>
      </c>
      <c r="E42" s="8">
        <v>0.36116579999999998</v>
      </c>
      <c r="F42" s="8">
        <v>0.61499999999999999</v>
      </c>
      <c r="G42" s="8">
        <v>0.16285714000000001</v>
      </c>
      <c r="H42" s="8">
        <v>0.32418629999999998</v>
      </c>
      <c r="I42" s="8">
        <v>9.3021019999999996E-2</v>
      </c>
      <c r="J42" s="8">
        <v>0.33919840000000001</v>
      </c>
      <c r="K42" s="8">
        <v>0.13396031</v>
      </c>
      <c r="L42" s="8">
        <v>0.12623112</v>
      </c>
      <c r="N42" s="12" t="s">
        <v>13</v>
      </c>
      <c r="P42" s="12" t="s">
        <v>12</v>
      </c>
      <c r="Q42" s="5"/>
      <c r="R42" s="22" t="s">
        <v>105</v>
      </c>
      <c r="T42">
        <v>42.230575999999999</v>
      </c>
      <c r="U42">
        <v>42.230575999999999</v>
      </c>
    </row>
    <row r="43" spans="2:26" x14ac:dyDescent="0.2">
      <c r="B43" s="8">
        <v>9</v>
      </c>
      <c r="C43" s="8">
        <v>2</v>
      </c>
      <c r="D43" s="8">
        <v>0.1</v>
      </c>
      <c r="E43" s="8">
        <v>0.36116579999999998</v>
      </c>
      <c r="F43" s="8">
        <v>0.61083330000000002</v>
      </c>
      <c r="G43" s="8">
        <v>0.16357142999999999</v>
      </c>
      <c r="H43" s="8">
        <v>0.30433890000000002</v>
      </c>
      <c r="I43" s="8">
        <v>9.3021019999999996E-2</v>
      </c>
      <c r="J43" s="8">
        <v>0.332511</v>
      </c>
      <c r="K43" s="8">
        <v>0.12206155</v>
      </c>
      <c r="L43" s="8">
        <v>0.11751153</v>
      </c>
      <c r="N43" s="4" t="s">
        <v>64</v>
      </c>
      <c r="O43" s="5"/>
      <c r="P43" s="4" t="s">
        <v>157</v>
      </c>
      <c r="Q43" s="5"/>
      <c r="R43" s="22" t="s">
        <v>106</v>
      </c>
      <c r="T43">
        <v>6.2238930000000003</v>
      </c>
      <c r="U43">
        <v>6.2238930000000003</v>
      </c>
    </row>
    <row r="44" spans="2:26" x14ac:dyDescent="0.2">
      <c r="B44" s="8">
        <v>10</v>
      </c>
      <c r="C44" s="8">
        <v>2</v>
      </c>
      <c r="D44" s="8">
        <v>0.1</v>
      </c>
      <c r="E44" s="8">
        <v>0.36116579999999998</v>
      </c>
      <c r="F44" s="8">
        <v>0.62894740000000005</v>
      </c>
      <c r="G44" s="8">
        <v>0.15142857000000001</v>
      </c>
      <c r="H44" s="8">
        <v>0.29860360000000002</v>
      </c>
      <c r="I44" s="8">
        <v>9.3021019999999996E-2</v>
      </c>
      <c r="J44" s="8">
        <v>0.32974189999999998</v>
      </c>
      <c r="K44" s="8">
        <v>0.12200058</v>
      </c>
      <c r="L44" s="8">
        <v>0.10513398</v>
      </c>
      <c r="N44" s="5" t="s">
        <v>155</v>
      </c>
      <c r="O44" s="5"/>
      <c r="P44" s="5"/>
      <c r="Q44" s="5"/>
      <c r="R44" s="22" t="s">
        <v>107</v>
      </c>
      <c r="T44">
        <v>27.025898000000002</v>
      </c>
      <c r="U44">
        <v>27.025898000000002</v>
      </c>
    </row>
    <row r="45" spans="2:26" x14ac:dyDescent="0.2">
      <c r="B45" s="8">
        <v>0.01</v>
      </c>
      <c r="C45" s="8">
        <v>2</v>
      </c>
      <c r="D45" s="8">
        <v>1</v>
      </c>
      <c r="E45" s="8">
        <v>0.33964460000000002</v>
      </c>
      <c r="F45" s="8">
        <v>0.46969699999999998</v>
      </c>
      <c r="G45" s="8">
        <v>0.11785714</v>
      </c>
      <c r="H45" s="8">
        <v>0.29161619999999999</v>
      </c>
      <c r="I45" s="8">
        <v>8.3286040000000006E-2</v>
      </c>
      <c r="J45" s="8">
        <v>0.42611929999999998</v>
      </c>
      <c r="K45" s="8">
        <v>0.11956732</v>
      </c>
      <c r="L45" s="8">
        <v>0.12024427</v>
      </c>
      <c r="M45" s="3"/>
      <c r="N45" s="5" t="s">
        <v>156</v>
      </c>
      <c r="O45" s="5"/>
      <c r="P45" s="5"/>
      <c r="Q45" s="5"/>
    </row>
    <row r="46" spans="2:26" x14ac:dyDescent="0.2">
      <c r="B46" s="8">
        <v>0.1</v>
      </c>
      <c r="C46" s="8">
        <v>2</v>
      </c>
      <c r="D46" s="8">
        <v>1</v>
      </c>
      <c r="E46" s="8">
        <v>0.337781</v>
      </c>
      <c r="F46" s="8">
        <v>0.44799499999999998</v>
      </c>
      <c r="G46" s="8">
        <v>0.10642857</v>
      </c>
      <c r="H46" s="8">
        <v>0.3172799</v>
      </c>
      <c r="I46" s="8">
        <v>8.2512219999999997E-2</v>
      </c>
      <c r="J46" s="8">
        <v>0.41682180000000002</v>
      </c>
      <c r="K46" s="8">
        <v>0.13025518</v>
      </c>
      <c r="L46" s="8">
        <v>0.10435566</v>
      </c>
      <c r="M46" s="3"/>
    </row>
    <row r="47" spans="2:26" x14ac:dyDescent="0.2">
      <c r="B47" s="8">
        <v>0.5</v>
      </c>
      <c r="C47" s="8">
        <v>2</v>
      </c>
      <c r="D47" s="8">
        <v>1</v>
      </c>
      <c r="E47" s="8">
        <v>0.337781</v>
      </c>
      <c r="F47" s="8">
        <v>0.50416669999999997</v>
      </c>
      <c r="G47" s="8">
        <v>0.11785714</v>
      </c>
      <c r="H47" s="8">
        <v>0.29134680000000002</v>
      </c>
      <c r="I47" s="8">
        <v>8.2512219999999997E-2</v>
      </c>
      <c r="J47" s="8">
        <v>0.38566699999999998</v>
      </c>
      <c r="K47" s="8">
        <v>0.11223039999999999</v>
      </c>
      <c r="L47" s="8">
        <v>9.6857620000000005E-2</v>
      </c>
      <c r="M47" s="3"/>
      <c r="N47" s="49" t="s">
        <v>108</v>
      </c>
      <c r="O47" s="49"/>
      <c r="P47" s="49"/>
      <c r="Q47" s="49"/>
      <c r="R47" s="49"/>
    </row>
    <row r="48" spans="2:26" x14ac:dyDescent="0.2">
      <c r="B48" s="8">
        <v>1</v>
      </c>
      <c r="C48" s="8">
        <v>2</v>
      </c>
      <c r="D48" s="8">
        <v>1</v>
      </c>
      <c r="E48" s="8">
        <v>0.337781</v>
      </c>
      <c r="F48" s="8">
        <v>0.58425930000000004</v>
      </c>
      <c r="G48" s="8">
        <v>0.13428571</v>
      </c>
      <c r="H48" s="8">
        <v>0.34945890000000002</v>
      </c>
      <c r="I48" s="8">
        <v>8.2512219999999997E-2</v>
      </c>
      <c r="J48" s="8">
        <v>0.39193139999999999</v>
      </c>
      <c r="K48" s="8">
        <v>0.13688406</v>
      </c>
      <c r="L48" s="8">
        <v>0.1029982</v>
      </c>
      <c r="M48" s="3"/>
      <c r="N48" s="5" t="s">
        <v>112</v>
      </c>
      <c r="O48" s="5" t="s">
        <v>5</v>
      </c>
      <c r="P48" s="5" t="s">
        <v>6</v>
      </c>
      <c r="Q48" s="5" t="s">
        <v>7</v>
      </c>
      <c r="R48" s="5" t="s">
        <v>38</v>
      </c>
      <c r="T48" s="12" t="s">
        <v>161</v>
      </c>
      <c r="V48" s="54" t="s">
        <v>148</v>
      </c>
    </row>
    <row r="49" spans="2:22" x14ac:dyDescent="0.2">
      <c r="B49" s="8">
        <v>2</v>
      </c>
      <c r="C49" s="8">
        <v>2</v>
      </c>
      <c r="D49" s="8">
        <v>1</v>
      </c>
      <c r="E49" s="8">
        <v>0.337781</v>
      </c>
      <c r="F49" s="8">
        <v>0.4780702</v>
      </c>
      <c r="G49" s="8">
        <v>0.11142857</v>
      </c>
      <c r="H49" s="8">
        <v>0.29689749999999998</v>
      </c>
      <c r="I49" s="8">
        <v>8.2512219999999997E-2</v>
      </c>
      <c r="J49" s="8">
        <v>0.38674219999999998</v>
      </c>
      <c r="K49" s="8">
        <v>0.11261804</v>
      </c>
      <c r="L49" s="8">
        <v>0.10328610000000001</v>
      </c>
      <c r="M49" s="3"/>
      <c r="N49" s="16">
        <v>0.5633319</v>
      </c>
      <c r="O49" s="16">
        <v>1</v>
      </c>
      <c r="P49" s="16">
        <v>0.42857139999999999</v>
      </c>
      <c r="Q49" s="16">
        <v>0.6</v>
      </c>
      <c r="R49" s="16" t="s">
        <v>56</v>
      </c>
      <c r="S49" s="6"/>
      <c r="T49" s="33">
        <v>0.183784</v>
      </c>
      <c r="V49" s="54"/>
    </row>
    <row r="50" spans="2:22" x14ac:dyDescent="0.2">
      <c r="B50" s="8">
        <v>3</v>
      </c>
      <c r="C50" s="8">
        <v>2</v>
      </c>
      <c r="D50" s="8">
        <v>1</v>
      </c>
      <c r="E50" s="8">
        <v>0.337781</v>
      </c>
      <c r="F50" s="8">
        <v>0.46416669999999999</v>
      </c>
      <c r="G50" s="8">
        <v>0.11928571</v>
      </c>
      <c r="H50" s="8">
        <v>0.30266399999999999</v>
      </c>
      <c r="I50" s="8">
        <v>8.2512219999999997E-2</v>
      </c>
      <c r="J50" s="8">
        <v>0.43100840000000001</v>
      </c>
      <c r="K50" s="8">
        <v>0.12822374</v>
      </c>
      <c r="L50" s="8">
        <v>0.12223233999999999</v>
      </c>
      <c r="M50" s="3"/>
      <c r="N50" s="16">
        <v>0.43541829999999998</v>
      </c>
      <c r="O50" s="16">
        <v>0.66666669999999995</v>
      </c>
      <c r="P50" s="16">
        <v>0.28571429999999998</v>
      </c>
      <c r="Q50" s="16">
        <v>0.4</v>
      </c>
      <c r="R50" s="16" t="s">
        <v>42</v>
      </c>
      <c r="S50" s="5"/>
      <c r="U50" s="5"/>
    </row>
    <row r="51" spans="2:22" x14ac:dyDescent="0.2">
      <c r="B51" s="8">
        <v>4</v>
      </c>
      <c r="C51" s="8">
        <v>2</v>
      </c>
      <c r="D51" s="8">
        <v>1</v>
      </c>
      <c r="E51" s="8">
        <v>0.337781</v>
      </c>
      <c r="F51" s="8">
        <v>0.46212120000000001</v>
      </c>
      <c r="G51" s="8">
        <v>0.11857143000000001</v>
      </c>
      <c r="H51" s="8">
        <v>0.30894110000000002</v>
      </c>
      <c r="I51" s="8">
        <v>8.2512219999999997E-2</v>
      </c>
      <c r="J51" s="8">
        <v>0.43242219999999998</v>
      </c>
      <c r="K51" s="8">
        <v>0.12813667000000001</v>
      </c>
      <c r="L51" s="8">
        <v>0.11389945</v>
      </c>
      <c r="M51" s="3"/>
      <c r="N51" s="16">
        <v>0.39812140000000001</v>
      </c>
      <c r="O51" s="16">
        <v>0.66666669999999995</v>
      </c>
      <c r="P51" s="16">
        <v>0.28571429999999998</v>
      </c>
      <c r="Q51" s="16">
        <v>0.4</v>
      </c>
      <c r="R51" s="16" t="s">
        <v>43</v>
      </c>
      <c r="S51" s="5"/>
      <c r="U51" s="5"/>
    </row>
    <row r="52" spans="2:22" x14ac:dyDescent="0.2">
      <c r="B52" s="8">
        <v>5</v>
      </c>
      <c r="C52" s="8">
        <v>2</v>
      </c>
      <c r="D52" s="8">
        <v>1</v>
      </c>
      <c r="E52" s="8">
        <v>0.337781</v>
      </c>
      <c r="F52" s="8">
        <v>0.45714290000000002</v>
      </c>
      <c r="G52" s="8">
        <v>0.13500000000000001</v>
      </c>
      <c r="H52" s="8">
        <v>0.31828279999999998</v>
      </c>
      <c r="I52" s="8">
        <v>8.2512219999999997E-2</v>
      </c>
      <c r="J52" s="8">
        <v>0.38634940000000001</v>
      </c>
      <c r="K52" s="8">
        <v>0.13832852000000001</v>
      </c>
      <c r="L52" s="8">
        <v>0.12805626000000001</v>
      </c>
      <c r="M52" s="3"/>
      <c r="N52" s="16">
        <v>0.6820908</v>
      </c>
      <c r="O52" s="16">
        <v>0.83333330000000005</v>
      </c>
      <c r="P52" s="16">
        <v>0.625</v>
      </c>
      <c r="Q52" s="16">
        <v>0.71428570000000002</v>
      </c>
      <c r="R52" s="16" t="s">
        <v>48</v>
      </c>
      <c r="S52" s="5"/>
      <c r="U52" s="5"/>
      <c r="V52" s="5"/>
    </row>
    <row r="53" spans="2:22" x14ac:dyDescent="0.2">
      <c r="B53" s="8">
        <v>6</v>
      </c>
      <c r="C53" s="8">
        <v>2</v>
      </c>
      <c r="D53" s="8">
        <v>1</v>
      </c>
      <c r="E53" s="8">
        <v>0.337781</v>
      </c>
      <c r="F53" s="8">
        <v>0.57083329999999999</v>
      </c>
      <c r="G53" s="8">
        <v>0.12928571</v>
      </c>
      <c r="H53" s="8">
        <v>0.34137250000000002</v>
      </c>
      <c r="I53" s="8">
        <v>8.2512219999999997E-2</v>
      </c>
      <c r="J53" s="8">
        <v>0.44530940000000002</v>
      </c>
      <c r="K53" s="8">
        <v>0.14091687999999999</v>
      </c>
      <c r="L53" s="8">
        <v>0.12261088000000001</v>
      </c>
      <c r="M53" s="3"/>
      <c r="N53" s="16">
        <v>0.36809950000000002</v>
      </c>
      <c r="O53" s="16">
        <v>0.6</v>
      </c>
      <c r="P53" s="16">
        <v>0.42857139999999999</v>
      </c>
      <c r="Q53" s="16">
        <v>0.5</v>
      </c>
      <c r="R53" s="16" t="s">
        <v>50</v>
      </c>
      <c r="S53" s="5"/>
      <c r="U53" s="5"/>
      <c r="V53" s="5"/>
    </row>
    <row r="54" spans="2:22" x14ac:dyDescent="0.2">
      <c r="B54" s="8">
        <v>7</v>
      </c>
      <c r="C54" s="8">
        <v>2</v>
      </c>
      <c r="D54" s="8">
        <v>1</v>
      </c>
      <c r="E54" s="8">
        <v>0.337781</v>
      </c>
      <c r="F54" s="8">
        <v>0.51136360000000003</v>
      </c>
      <c r="G54" s="8">
        <v>0.11785714</v>
      </c>
      <c r="H54" s="8">
        <v>0.29952859999999998</v>
      </c>
      <c r="I54" s="8">
        <v>8.2512219999999997E-2</v>
      </c>
      <c r="J54" s="8">
        <v>0.43209180000000003</v>
      </c>
      <c r="K54" s="8">
        <v>0.11223039999999999</v>
      </c>
      <c r="L54" s="8">
        <v>9.9916420000000006E-2</v>
      </c>
      <c r="M54" s="3"/>
      <c r="N54" s="16">
        <v>0.44248270000000001</v>
      </c>
      <c r="O54" s="16">
        <v>1</v>
      </c>
      <c r="P54" s="16">
        <v>0.42857139999999999</v>
      </c>
      <c r="Q54" s="16">
        <v>0.6</v>
      </c>
      <c r="R54" s="16" t="s">
        <v>62</v>
      </c>
      <c r="S54" s="5"/>
      <c r="T54" s="5"/>
      <c r="U54" s="5"/>
      <c r="V54" s="5"/>
    </row>
    <row r="55" spans="2:22" x14ac:dyDescent="0.2">
      <c r="B55" s="8">
        <v>8</v>
      </c>
      <c r="C55" s="8">
        <v>2</v>
      </c>
      <c r="D55" s="8">
        <v>1</v>
      </c>
      <c r="E55" s="8">
        <v>0.337781</v>
      </c>
      <c r="F55" s="8">
        <v>0.57083329999999999</v>
      </c>
      <c r="G55" s="8">
        <v>0.12928571</v>
      </c>
      <c r="H55" s="8">
        <v>0.30230430000000003</v>
      </c>
      <c r="I55" s="8">
        <v>8.2512219999999997E-2</v>
      </c>
      <c r="J55" s="8">
        <v>0.41027999999999998</v>
      </c>
      <c r="K55" s="8">
        <v>0.12147233</v>
      </c>
      <c r="L55" s="8">
        <v>0.12118532</v>
      </c>
      <c r="N55" s="16">
        <v>0.3579446</v>
      </c>
      <c r="O55" s="16">
        <v>0.5</v>
      </c>
      <c r="P55" s="16">
        <v>0.14285709999999999</v>
      </c>
      <c r="Q55" s="16">
        <v>0.22222220000000001</v>
      </c>
      <c r="R55" s="16" t="s">
        <v>51</v>
      </c>
      <c r="S55" s="5"/>
      <c r="T55" s="5"/>
      <c r="U55" s="5"/>
      <c r="V55" s="5"/>
    </row>
    <row r="56" spans="2:22" x14ac:dyDescent="0.2">
      <c r="B56" s="8">
        <v>9</v>
      </c>
      <c r="C56" s="8">
        <v>2</v>
      </c>
      <c r="D56" s="8">
        <v>1</v>
      </c>
      <c r="E56" s="8">
        <v>0.337781</v>
      </c>
      <c r="F56" s="8">
        <v>0.51470590000000005</v>
      </c>
      <c r="G56" s="8">
        <v>0.10642857</v>
      </c>
      <c r="H56" s="8">
        <v>0.32187900000000003</v>
      </c>
      <c r="I56" s="8">
        <v>8.2512219999999997E-2</v>
      </c>
      <c r="J56" s="8">
        <v>0.4271954</v>
      </c>
      <c r="K56" s="8">
        <v>0.13025518</v>
      </c>
      <c r="L56" s="8">
        <v>0.11362173</v>
      </c>
      <c r="N56" s="16">
        <v>0.56906670000000004</v>
      </c>
      <c r="O56" s="16">
        <v>0.66666669999999995</v>
      </c>
      <c r="P56" s="16">
        <v>0.5</v>
      </c>
      <c r="Q56" s="16">
        <v>0.57142859999999995</v>
      </c>
      <c r="R56" s="16" t="s">
        <v>52</v>
      </c>
      <c r="S56" s="5"/>
      <c r="T56" s="5"/>
      <c r="U56" s="5"/>
      <c r="V56" s="5"/>
    </row>
    <row r="57" spans="2:22" x14ac:dyDescent="0.2">
      <c r="B57" s="8">
        <v>10</v>
      </c>
      <c r="C57" s="8">
        <v>2</v>
      </c>
      <c r="D57" s="8">
        <v>1</v>
      </c>
      <c r="E57" s="8">
        <v>0.337781</v>
      </c>
      <c r="F57" s="8">
        <v>0.421875</v>
      </c>
      <c r="G57" s="8">
        <v>6.7857139999999996E-2</v>
      </c>
      <c r="H57" s="8">
        <v>0.29057240000000001</v>
      </c>
      <c r="I57" s="8">
        <v>8.2512219999999997E-2</v>
      </c>
      <c r="J57" s="8">
        <v>0.44873150000000001</v>
      </c>
      <c r="K57" s="8">
        <v>0.10154001</v>
      </c>
      <c r="L57" s="8">
        <v>0.10723466</v>
      </c>
      <c r="N57" s="16">
        <v>0.40566600000000003</v>
      </c>
      <c r="O57" s="16">
        <v>0.42857139999999999</v>
      </c>
      <c r="P57" s="16">
        <v>0.42857139999999999</v>
      </c>
      <c r="Q57" s="16">
        <v>0.42857139999999999</v>
      </c>
      <c r="R57" s="16" t="s">
        <v>45</v>
      </c>
      <c r="S57" s="5"/>
      <c r="T57" s="5"/>
      <c r="U57" s="2"/>
    </row>
    <row r="58" spans="2:22" x14ac:dyDescent="0.2">
      <c r="B58" s="8">
        <v>0.01</v>
      </c>
      <c r="C58" s="8">
        <v>2</v>
      </c>
      <c r="D58" s="8">
        <v>2</v>
      </c>
      <c r="E58" s="8">
        <v>0.3348814</v>
      </c>
      <c r="F58" s="8">
        <v>0.58333330000000005</v>
      </c>
      <c r="G58" s="8">
        <v>0.12428570999999999</v>
      </c>
      <c r="H58" s="8">
        <v>0.30811450000000001</v>
      </c>
      <c r="I58" s="8">
        <v>8.2539429999999997E-2</v>
      </c>
      <c r="J58" s="8">
        <v>0.39914119999999997</v>
      </c>
      <c r="K58" s="8">
        <v>0.11884059</v>
      </c>
      <c r="L58" s="8">
        <v>0.11618489999999999</v>
      </c>
      <c r="N58" s="16">
        <v>0.48673620000000001</v>
      </c>
      <c r="O58" s="16">
        <v>0.8</v>
      </c>
      <c r="P58" s="16">
        <v>0.57142859999999995</v>
      </c>
      <c r="Q58" s="16">
        <v>0.66666669999999995</v>
      </c>
      <c r="R58" s="16" t="s">
        <v>63</v>
      </c>
      <c r="S58" s="5"/>
      <c r="U58" s="2"/>
    </row>
    <row r="59" spans="2:22" x14ac:dyDescent="0.2">
      <c r="B59" s="8">
        <v>0.1</v>
      </c>
      <c r="C59" s="8">
        <v>2</v>
      </c>
      <c r="D59" s="8">
        <v>2</v>
      </c>
      <c r="E59" s="8">
        <v>0.3348814</v>
      </c>
      <c r="F59" s="8">
        <v>0.58333330000000005</v>
      </c>
      <c r="G59" s="8">
        <v>0.1</v>
      </c>
      <c r="H59" s="8">
        <v>0.2929293</v>
      </c>
      <c r="I59" s="8">
        <v>8.2539429999999997E-2</v>
      </c>
      <c r="J59" s="8">
        <v>0.38968170000000002</v>
      </c>
      <c r="K59" s="8">
        <v>0.10862076</v>
      </c>
      <c r="L59" s="8">
        <v>9.2325760000000007E-2</v>
      </c>
      <c r="N59" s="16">
        <v>0.31153160000000002</v>
      </c>
      <c r="O59" s="16">
        <v>0</v>
      </c>
      <c r="P59" s="16">
        <v>0</v>
      </c>
      <c r="Q59" s="16" t="s">
        <v>113</v>
      </c>
      <c r="R59" s="16" t="s">
        <v>41</v>
      </c>
      <c r="S59" s="5"/>
      <c r="U59" s="2"/>
    </row>
    <row r="60" spans="2:22" x14ac:dyDescent="0.2">
      <c r="B60" s="8">
        <v>0.5</v>
      </c>
      <c r="C60" s="8">
        <v>2</v>
      </c>
      <c r="D60" s="8">
        <v>2</v>
      </c>
      <c r="E60" s="8">
        <v>0.3348814</v>
      </c>
      <c r="F60" s="8">
        <v>0.4780702</v>
      </c>
      <c r="G60" s="8">
        <v>0.10071429</v>
      </c>
      <c r="H60" s="8">
        <v>0.321633</v>
      </c>
      <c r="I60" s="8">
        <v>8.2539429999999997E-2</v>
      </c>
      <c r="J60" s="8">
        <v>0.44948709999999997</v>
      </c>
      <c r="K60" s="8">
        <v>0.11810039999999999</v>
      </c>
      <c r="L60" s="8">
        <v>0.11552563</v>
      </c>
      <c r="N60" s="16">
        <v>0.38924900000000001</v>
      </c>
      <c r="O60" s="16">
        <v>0.6</v>
      </c>
      <c r="P60" s="16">
        <v>0.42857139999999999</v>
      </c>
      <c r="Q60" s="16">
        <v>0.5</v>
      </c>
      <c r="R60" s="16" t="s">
        <v>49</v>
      </c>
      <c r="S60" s="5"/>
      <c r="U60" s="2"/>
    </row>
    <row r="61" spans="2:22" x14ac:dyDescent="0.2">
      <c r="B61" s="8">
        <v>1</v>
      </c>
      <c r="C61" s="8">
        <v>2</v>
      </c>
      <c r="D61" s="8">
        <v>2</v>
      </c>
      <c r="E61" s="8">
        <v>0.3348814</v>
      </c>
      <c r="F61" s="8">
        <v>0.53703699999999999</v>
      </c>
      <c r="G61" s="8">
        <v>0.10142857</v>
      </c>
      <c r="H61" s="8">
        <v>0.29829060000000002</v>
      </c>
      <c r="I61" s="8">
        <v>8.2539429999999997E-2</v>
      </c>
      <c r="J61" s="8">
        <v>0.4299094</v>
      </c>
      <c r="K61" s="8">
        <v>0.11266994</v>
      </c>
      <c r="L61" s="8">
        <v>0.10787855</v>
      </c>
      <c r="N61" s="16">
        <v>0.68979590000000002</v>
      </c>
      <c r="O61" s="16">
        <v>1</v>
      </c>
      <c r="P61" s="16">
        <v>0.28571429999999998</v>
      </c>
      <c r="Q61" s="16">
        <v>0.44444440000000002</v>
      </c>
      <c r="R61" s="16" t="s">
        <v>57</v>
      </c>
      <c r="S61" s="9"/>
      <c r="U61" s="2"/>
    </row>
    <row r="62" spans="2:22" x14ac:dyDescent="0.2">
      <c r="B62" s="8">
        <v>2</v>
      </c>
      <c r="C62" s="8">
        <v>2</v>
      </c>
      <c r="D62" s="8">
        <v>2</v>
      </c>
      <c r="E62" s="8">
        <v>0.3348814</v>
      </c>
      <c r="F62" s="8">
        <v>0.58823530000000002</v>
      </c>
      <c r="G62" s="8">
        <v>0.1</v>
      </c>
      <c r="H62" s="8">
        <v>0.30244759999999998</v>
      </c>
      <c r="I62" s="8">
        <v>8.2539429999999997E-2</v>
      </c>
      <c r="J62" s="8">
        <v>0.40874830000000001</v>
      </c>
      <c r="K62" s="8">
        <v>0.11044033</v>
      </c>
      <c r="L62" s="8">
        <v>0.10493244</v>
      </c>
      <c r="N62" s="16">
        <v>0.40671800000000002</v>
      </c>
      <c r="O62" s="16">
        <v>0.42857139999999999</v>
      </c>
      <c r="P62" s="16">
        <v>0.42857139999999999</v>
      </c>
      <c r="Q62" s="16">
        <v>0.42857139999999999</v>
      </c>
      <c r="R62" s="16" t="s">
        <v>59</v>
      </c>
      <c r="S62" s="9"/>
      <c r="V62" s="2"/>
    </row>
    <row r="63" spans="2:22" x14ac:dyDescent="0.2">
      <c r="B63" s="8">
        <v>3</v>
      </c>
      <c r="C63" s="8">
        <v>2</v>
      </c>
      <c r="D63" s="8">
        <v>2</v>
      </c>
      <c r="E63" s="8">
        <v>0.3348814</v>
      </c>
      <c r="F63" s="8">
        <v>0.48749999999999999</v>
      </c>
      <c r="G63" s="8">
        <v>0.10714286000000001</v>
      </c>
      <c r="H63" s="8">
        <v>0.31697750000000002</v>
      </c>
      <c r="I63" s="8">
        <v>8.2539429999999997E-2</v>
      </c>
      <c r="J63" s="8">
        <v>0.43618750000000001</v>
      </c>
      <c r="K63" s="8">
        <v>0.11833866</v>
      </c>
      <c r="L63" s="8">
        <v>0.11732753999999999</v>
      </c>
      <c r="N63" s="16">
        <v>0.43917079999999997</v>
      </c>
      <c r="O63" s="16">
        <v>0.66666669999999995</v>
      </c>
      <c r="P63" s="16">
        <v>0.28571429999999998</v>
      </c>
      <c r="Q63" s="16">
        <v>0.4</v>
      </c>
      <c r="R63" s="16" t="s">
        <v>58</v>
      </c>
      <c r="S63" s="9"/>
      <c r="V63" s="2"/>
    </row>
    <row r="64" spans="2:22" x14ac:dyDescent="0.2">
      <c r="B64" s="8">
        <v>4</v>
      </c>
      <c r="C64" s="8">
        <v>2</v>
      </c>
      <c r="D64" s="8">
        <v>2</v>
      </c>
      <c r="E64" s="8">
        <v>0.3348814</v>
      </c>
      <c r="F64" s="8">
        <v>0.48529410000000001</v>
      </c>
      <c r="G64" s="8">
        <v>7.2857140000000001E-2</v>
      </c>
      <c r="H64" s="8">
        <v>0.25564740000000002</v>
      </c>
      <c r="I64" s="8">
        <v>8.2539429999999997E-2</v>
      </c>
      <c r="J64" s="8">
        <v>0.44119009999999997</v>
      </c>
      <c r="K64" s="8">
        <v>9.2346349999999994E-2</v>
      </c>
      <c r="L64" s="8">
        <v>6.6727789999999995E-2</v>
      </c>
      <c r="N64" s="16">
        <v>0.39199640000000002</v>
      </c>
      <c r="O64" s="16">
        <v>1</v>
      </c>
      <c r="P64" s="16">
        <v>0.25</v>
      </c>
      <c r="Q64" s="16">
        <v>0.4</v>
      </c>
      <c r="R64" s="16" t="s">
        <v>39</v>
      </c>
      <c r="S64" s="10"/>
      <c r="V64" s="2"/>
    </row>
    <row r="65" spans="2:22" x14ac:dyDescent="0.2">
      <c r="B65" s="8">
        <v>5</v>
      </c>
      <c r="C65" s="8">
        <v>2</v>
      </c>
      <c r="D65" s="8">
        <v>2</v>
      </c>
      <c r="E65" s="8">
        <v>0.3348814</v>
      </c>
      <c r="F65" s="8">
        <v>0.55902779999999996</v>
      </c>
      <c r="G65" s="8">
        <v>0.10142857</v>
      </c>
      <c r="H65" s="8">
        <v>0.29558079999999998</v>
      </c>
      <c r="I65" s="8">
        <v>8.2539429999999997E-2</v>
      </c>
      <c r="J65" s="8">
        <v>0.43801780000000001</v>
      </c>
      <c r="K65" s="8">
        <v>0.13963249999999999</v>
      </c>
      <c r="L65" s="8">
        <v>0.11639537</v>
      </c>
      <c r="N65" s="16">
        <v>0.41615560000000001</v>
      </c>
      <c r="O65" s="16">
        <v>0.6</v>
      </c>
      <c r="P65" s="16">
        <v>0.42857139999999999</v>
      </c>
      <c r="Q65" s="16">
        <v>0.5</v>
      </c>
      <c r="R65" s="16" t="s">
        <v>60</v>
      </c>
      <c r="S65" s="10"/>
      <c r="V65" s="2"/>
    </row>
    <row r="66" spans="2:22" x14ac:dyDescent="0.2">
      <c r="B66" s="8">
        <v>6</v>
      </c>
      <c r="C66" s="8">
        <v>2</v>
      </c>
      <c r="D66" s="8">
        <v>2</v>
      </c>
      <c r="E66" s="8">
        <v>0.3348814</v>
      </c>
      <c r="F66" s="8">
        <v>0.68205130000000003</v>
      </c>
      <c r="G66" s="8">
        <v>0.09</v>
      </c>
      <c r="H66" s="8">
        <v>0.28703699999999999</v>
      </c>
      <c r="I66" s="8">
        <v>8.2539429999999997E-2</v>
      </c>
      <c r="J66" s="8">
        <v>0.35266589999999998</v>
      </c>
      <c r="K66" s="8">
        <v>0.10757354</v>
      </c>
      <c r="L66" s="8">
        <v>0.10299481000000001</v>
      </c>
      <c r="N66" s="16">
        <v>0.42349789999999998</v>
      </c>
      <c r="O66" s="16">
        <v>0.66666669999999995</v>
      </c>
      <c r="P66" s="16">
        <v>0.28571429999999998</v>
      </c>
      <c r="Q66" s="16">
        <v>0.4</v>
      </c>
      <c r="R66" s="16" t="s">
        <v>40</v>
      </c>
      <c r="S66" s="10"/>
      <c r="T66" s="10"/>
      <c r="U66" s="10"/>
      <c r="V66" s="2"/>
    </row>
    <row r="67" spans="2:22" x14ac:dyDescent="0.2">
      <c r="B67" s="8">
        <v>7</v>
      </c>
      <c r="C67" s="8">
        <v>2</v>
      </c>
      <c r="D67" s="8">
        <v>2</v>
      </c>
      <c r="E67" s="8">
        <v>0.3348814</v>
      </c>
      <c r="F67" s="8">
        <v>0.5320513</v>
      </c>
      <c r="G67" s="8">
        <v>6.7857139999999996E-2</v>
      </c>
      <c r="H67" s="8">
        <v>0.29304150000000001</v>
      </c>
      <c r="I67" s="8">
        <v>8.2539429999999997E-2</v>
      </c>
      <c r="J67" s="8">
        <v>0.44035239999999998</v>
      </c>
      <c r="K67" s="8">
        <v>0.10154001</v>
      </c>
      <c r="L67" s="8">
        <v>0.10512356</v>
      </c>
      <c r="N67" s="16">
        <v>0.4189119</v>
      </c>
      <c r="O67" s="16">
        <v>0.5</v>
      </c>
      <c r="P67" s="16">
        <v>0.28571429999999998</v>
      </c>
      <c r="Q67" s="16">
        <v>0.36363640000000003</v>
      </c>
      <c r="R67" s="16" t="s">
        <v>61</v>
      </c>
      <c r="S67" s="10"/>
      <c r="T67" s="10"/>
      <c r="U67" s="10"/>
      <c r="V67" s="2"/>
    </row>
    <row r="68" spans="2:22" x14ac:dyDescent="0.2">
      <c r="B68" s="8">
        <v>8</v>
      </c>
      <c r="C68" s="8">
        <v>2</v>
      </c>
      <c r="D68" s="8">
        <v>2</v>
      </c>
      <c r="E68" s="8">
        <v>0.3348814</v>
      </c>
      <c r="F68" s="8">
        <v>0.65561219999999998</v>
      </c>
      <c r="G68" s="8">
        <v>0.10071429</v>
      </c>
      <c r="H68" s="8">
        <v>0.30768400000000001</v>
      </c>
      <c r="I68" s="8">
        <v>8.2539429999999997E-2</v>
      </c>
      <c r="J68" s="8">
        <v>0.39556629999999998</v>
      </c>
      <c r="K68" s="8">
        <v>0.12667668000000001</v>
      </c>
      <c r="L68" s="8">
        <v>0.11261225</v>
      </c>
      <c r="N68" s="16">
        <v>0.68571079999999995</v>
      </c>
      <c r="O68" s="16">
        <v>0.83333330000000005</v>
      </c>
      <c r="P68" s="16">
        <v>0.71428570000000002</v>
      </c>
      <c r="Q68" s="16">
        <v>0.76923079999999999</v>
      </c>
      <c r="R68" s="16" t="s">
        <v>44</v>
      </c>
      <c r="S68" s="10"/>
      <c r="T68" s="10"/>
      <c r="U68" s="10"/>
      <c r="V68" s="2"/>
    </row>
    <row r="69" spans="2:22" x14ac:dyDescent="0.2">
      <c r="B69" s="8">
        <v>9</v>
      </c>
      <c r="C69" s="8">
        <v>2</v>
      </c>
      <c r="D69" s="8">
        <v>2</v>
      </c>
      <c r="E69" s="8">
        <v>0.3348814</v>
      </c>
      <c r="F69" s="8">
        <v>0.52604169999999995</v>
      </c>
      <c r="G69" s="8">
        <v>0.09</v>
      </c>
      <c r="H69" s="8">
        <v>0.31198350000000002</v>
      </c>
      <c r="I69" s="8">
        <v>8.2539429999999997E-2</v>
      </c>
      <c r="J69" s="8">
        <v>0.43855690000000003</v>
      </c>
      <c r="K69" s="8">
        <v>0.11520741</v>
      </c>
      <c r="L69" s="8">
        <v>0.11208392</v>
      </c>
      <c r="N69" s="16">
        <v>0.62638669999999996</v>
      </c>
      <c r="O69" s="16">
        <v>0.83333330000000005</v>
      </c>
      <c r="P69" s="16">
        <v>0.71428570000000002</v>
      </c>
      <c r="Q69" s="16">
        <v>0.76923079999999999</v>
      </c>
      <c r="R69" s="16" t="s">
        <v>46</v>
      </c>
      <c r="S69" s="5"/>
      <c r="T69" s="15"/>
      <c r="U69" s="14"/>
      <c r="V69" s="2"/>
    </row>
    <row r="70" spans="2:22" x14ac:dyDescent="0.2">
      <c r="B70" s="8">
        <v>10</v>
      </c>
      <c r="C70" s="8">
        <v>2</v>
      </c>
      <c r="D70" s="8">
        <v>2</v>
      </c>
      <c r="E70" s="8">
        <v>0.3348814</v>
      </c>
      <c r="F70" s="8">
        <v>0.52604169999999995</v>
      </c>
      <c r="G70" s="8">
        <v>9.5000000000000001E-2</v>
      </c>
      <c r="H70" s="8">
        <v>0.32277319999999998</v>
      </c>
      <c r="I70" s="8">
        <v>8.2539429999999997E-2</v>
      </c>
      <c r="J70" s="8">
        <v>0.41468280000000002</v>
      </c>
      <c r="K70" s="8">
        <v>0.12634481</v>
      </c>
      <c r="L70" s="8">
        <v>0.11557172</v>
      </c>
      <c r="N70" s="16">
        <v>0.46892050000000002</v>
      </c>
      <c r="O70" s="16">
        <v>0.83333330000000005</v>
      </c>
      <c r="P70" s="16">
        <v>0.71428570000000002</v>
      </c>
      <c r="Q70" s="16">
        <v>0.76923079999999999</v>
      </c>
      <c r="R70" s="16" t="s">
        <v>54</v>
      </c>
      <c r="S70" s="5"/>
      <c r="T70" s="5"/>
      <c r="U70" s="5"/>
      <c r="V70" s="2"/>
    </row>
    <row r="71" spans="2:22" x14ac:dyDescent="0.2">
      <c r="B71" s="8">
        <v>0.01</v>
      </c>
      <c r="C71" s="8">
        <v>3</v>
      </c>
      <c r="D71" s="8">
        <v>1E-3</v>
      </c>
      <c r="E71" s="8">
        <v>0.46044629999999998</v>
      </c>
      <c r="F71" s="8">
        <v>0.68508769999999997</v>
      </c>
      <c r="G71" s="8">
        <v>0.16285714000000001</v>
      </c>
      <c r="H71" s="8">
        <v>0.33153759999999999</v>
      </c>
      <c r="I71" s="8">
        <v>0.10385883999999999</v>
      </c>
      <c r="J71" s="8">
        <v>0.28915020000000002</v>
      </c>
      <c r="K71" s="8">
        <v>0.14016434999999999</v>
      </c>
      <c r="L71" s="8">
        <v>0.13402578000000001</v>
      </c>
      <c r="N71" s="16">
        <v>0.42495919999999998</v>
      </c>
      <c r="O71" s="16">
        <v>0.5</v>
      </c>
      <c r="P71" s="16">
        <v>0.25</v>
      </c>
      <c r="Q71" s="16">
        <v>0.3333333</v>
      </c>
      <c r="R71" s="16" t="s">
        <v>53</v>
      </c>
      <c r="V71" s="2"/>
    </row>
    <row r="72" spans="2:22" x14ac:dyDescent="0.2">
      <c r="B72" s="8">
        <v>0.1</v>
      </c>
      <c r="C72" s="8">
        <v>3</v>
      </c>
      <c r="D72" s="8">
        <v>1E-3</v>
      </c>
      <c r="E72" s="8">
        <v>0.4639472</v>
      </c>
      <c r="F72" s="8">
        <v>0.66614289999999998</v>
      </c>
      <c r="G72" s="8">
        <v>0.36285714000000002</v>
      </c>
      <c r="H72" s="8">
        <v>0.46967429999999999</v>
      </c>
      <c r="I72" s="8">
        <v>9.1337769999999999E-2</v>
      </c>
      <c r="J72" s="8">
        <v>0.2449798</v>
      </c>
      <c r="K72" s="8">
        <v>0.17318666999999999</v>
      </c>
      <c r="L72" s="8">
        <v>0.16732749</v>
      </c>
      <c r="N72" s="16">
        <v>0.47084609999999999</v>
      </c>
      <c r="O72" s="16">
        <v>0.66666669999999995</v>
      </c>
      <c r="P72" s="16">
        <v>0.25</v>
      </c>
      <c r="Q72" s="16">
        <v>0.36363640000000003</v>
      </c>
      <c r="R72" s="16" t="s">
        <v>47</v>
      </c>
      <c r="V72" s="2"/>
    </row>
    <row r="73" spans="2:22" x14ac:dyDescent="0.2">
      <c r="B73" s="8">
        <v>0.5</v>
      </c>
      <c r="C73" s="8">
        <v>3</v>
      </c>
      <c r="D73" s="8">
        <v>1E-3</v>
      </c>
      <c r="E73" s="8">
        <v>0.46855780000000002</v>
      </c>
      <c r="F73" s="8">
        <v>0.61923810000000001</v>
      </c>
      <c r="G73" s="8">
        <v>0.33928571000000002</v>
      </c>
      <c r="H73" s="8">
        <v>0.476856</v>
      </c>
      <c r="I73" s="8">
        <v>9.3211080000000002E-2</v>
      </c>
      <c r="J73" s="8">
        <v>0.3075386</v>
      </c>
      <c r="K73" s="8">
        <v>0.22009728000000001</v>
      </c>
      <c r="L73" s="8">
        <v>0.18516024</v>
      </c>
      <c r="N73" s="16">
        <v>0.30556749999999999</v>
      </c>
      <c r="O73" s="16">
        <v>0.3333333</v>
      </c>
      <c r="P73" s="16">
        <v>0.28571429999999998</v>
      </c>
      <c r="Q73" s="16">
        <v>0.30769229999999997</v>
      </c>
      <c r="R73" s="16" t="s">
        <v>55</v>
      </c>
      <c r="V73" s="2"/>
    </row>
    <row r="74" spans="2:22" x14ac:dyDescent="0.2">
      <c r="B74" s="8">
        <v>1</v>
      </c>
      <c r="C74" s="8">
        <v>3</v>
      </c>
      <c r="D74" s="8">
        <v>1E-3</v>
      </c>
      <c r="E74" s="8">
        <v>0.46902680000000002</v>
      </c>
      <c r="F74" s="8">
        <v>0.62566670000000002</v>
      </c>
      <c r="G74" s="8">
        <v>0.34642856999999999</v>
      </c>
      <c r="H74" s="8">
        <v>0.4672038</v>
      </c>
      <c r="I74" s="8">
        <v>9.2855869999999993E-2</v>
      </c>
      <c r="J74" s="8">
        <v>0.27171780000000001</v>
      </c>
      <c r="K74" s="8">
        <v>0.20242472</v>
      </c>
      <c r="L74" s="8">
        <v>0.17378453999999999</v>
      </c>
      <c r="V74" s="2"/>
    </row>
    <row r="75" spans="2:22" x14ac:dyDescent="0.2">
      <c r="B75" s="8">
        <v>2</v>
      </c>
      <c r="C75" s="8">
        <v>3</v>
      </c>
      <c r="D75" s="8">
        <v>1E-3</v>
      </c>
      <c r="E75" s="8">
        <v>0.47022140000000001</v>
      </c>
      <c r="F75" s="8">
        <v>0.63819440000000005</v>
      </c>
      <c r="G75" s="8">
        <v>0.34642856999999999</v>
      </c>
      <c r="H75" s="8">
        <v>0.4875256</v>
      </c>
      <c r="I75" s="8">
        <v>9.3900639999999994E-2</v>
      </c>
      <c r="J75" s="8">
        <v>0.25316729999999998</v>
      </c>
      <c r="K75" s="8">
        <v>0.19918253</v>
      </c>
      <c r="L75" s="8">
        <v>0.14211414999999999</v>
      </c>
      <c r="V75" s="2"/>
    </row>
    <row r="76" spans="2:22" x14ac:dyDescent="0.2">
      <c r="B76" s="8">
        <v>3</v>
      </c>
      <c r="C76" s="8">
        <v>3</v>
      </c>
      <c r="D76" s="8">
        <v>1E-3</v>
      </c>
      <c r="E76" s="8">
        <v>0.4698312</v>
      </c>
      <c r="F76" s="8">
        <v>0.65447619999999995</v>
      </c>
      <c r="G76" s="8">
        <v>0.33214285999999998</v>
      </c>
      <c r="H76" s="8">
        <v>0.46014830000000001</v>
      </c>
      <c r="I76" s="8">
        <v>9.425306E-2</v>
      </c>
      <c r="J76" s="8">
        <v>0.27931600000000001</v>
      </c>
      <c r="K76" s="8">
        <v>0.16846395</v>
      </c>
      <c r="L76" s="8">
        <v>0.14705888</v>
      </c>
      <c r="V76" s="2"/>
    </row>
    <row r="77" spans="2:22" x14ac:dyDescent="0.2">
      <c r="B77" s="8">
        <v>4</v>
      </c>
      <c r="C77" s="8">
        <v>3</v>
      </c>
      <c r="D77" s="8">
        <v>1E-3</v>
      </c>
      <c r="E77" s="8">
        <v>0.4731978</v>
      </c>
      <c r="F77" s="8">
        <v>0.670381</v>
      </c>
      <c r="G77" s="8">
        <v>0.34571428999999998</v>
      </c>
      <c r="H77" s="8">
        <v>0.45823160000000002</v>
      </c>
      <c r="I77" s="8">
        <v>9.4373520000000002E-2</v>
      </c>
      <c r="J77" s="8">
        <v>0.2448545</v>
      </c>
      <c r="K77" s="8">
        <v>0.16397809999999999</v>
      </c>
      <c r="L77" s="8">
        <v>0.15600441000000001</v>
      </c>
      <c r="V77" s="2"/>
    </row>
    <row r="78" spans="2:22" x14ac:dyDescent="0.2">
      <c r="B78" s="8">
        <v>5</v>
      </c>
      <c r="C78" s="8">
        <v>3</v>
      </c>
      <c r="D78" s="8">
        <v>1E-3</v>
      </c>
      <c r="E78" s="8">
        <v>0.46895609999999999</v>
      </c>
      <c r="F78" s="8">
        <v>0.65853170000000005</v>
      </c>
      <c r="G78" s="8">
        <v>0.32285713999999999</v>
      </c>
      <c r="H78" s="8">
        <v>0.45195289999999999</v>
      </c>
      <c r="I78" s="8">
        <v>9.6361639999999998E-2</v>
      </c>
      <c r="J78" s="8">
        <v>0.22933780000000001</v>
      </c>
      <c r="K78" s="8">
        <v>0.16583444</v>
      </c>
      <c r="L78" s="8">
        <v>0.14373896999999999</v>
      </c>
      <c r="V78" s="2"/>
    </row>
    <row r="79" spans="2:22" x14ac:dyDescent="0.2">
      <c r="B79" s="8">
        <v>6</v>
      </c>
      <c r="C79" s="8">
        <v>3</v>
      </c>
      <c r="D79" s="8">
        <v>1E-3</v>
      </c>
      <c r="E79" s="8">
        <v>0.46518340000000002</v>
      </c>
      <c r="F79" s="8">
        <v>0.67463770000000001</v>
      </c>
      <c r="G79" s="8">
        <v>0.32785713999999999</v>
      </c>
      <c r="H79" s="8">
        <v>0.47119270000000002</v>
      </c>
      <c r="I79" s="8">
        <v>9.5421770000000003E-2</v>
      </c>
      <c r="J79" s="8">
        <v>0.2371373</v>
      </c>
      <c r="K79" s="8">
        <v>0.18239069999999999</v>
      </c>
      <c r="L79" s="8">
        <v>0.14625518000000001</v>
      </c>
      <c r="V79" s="2"/>
    </row>
    <row r="80" spans="2:22" x14ac:dyDescent="0.2">
      <c r="B80" s="8">
        <v>7</v>
      </c>
      <c r="C80" s="8">
        <v>3</v>
      </c>
      <c r="D80" s="8">
        <v>1E-3</v>
      </c>
      <c r="E80" s="8">
        <v>0.4662094</v>
      </c>
      <c r="F80" s="8">
        <v>0.69399999999999995</v>
      </c>
      <c r="G80" s="8">
        <v>0.33571429000000003</v>
      </c>
      <c r="H80" s="8">
        <v>0.44718180000000002</v>
      </c>
      <c r="I80" s="8">
        <v>9.8421320000000007E-2</v>
      </c>
      <c r="J80" s="8">
        <v>0.2431411</v>
      </c>
      <c r="K80" s="8">
        <v>0.16695872</v>
      </c>
      <c r="L80" s="8">
        <v>0.14997803000000001</v>
      </c>
      <c r="V80" s="2"/>
    </row>
    <row r="81" spans="2:22" x14ac:dyDescent="0.2">
      <c r="B81" s="8">
        <v>8</v>
      </c>
      <c r="C81" s="8">
        <v>3</v>
      </c>
      <c r="D81" s="8">
        <v>1E-3</v>
      </c>
      <c r="E81" s="8">
        <v>0.46873910000000002</v>
      </c>
      <c r="F81" s="8">
        <v>0.71527779999999996</v>
      </c>
      <c r="G81" s="8">
        <v>0.32142857000000002</v>
      </c>
      <c r="H81" s="8">
        <v>0.45390649999999999</v>
      </c>
      <c r="I81" s="8">
        <v>0.1004457</v>
      </c>
      <c r="J81" s="8">
        <v>0.25223240000000002</v>
      </c>
      <c r="K81" s="8">
        <v>0.17541860000000001</v>
      </c>
      <c r="L81" s="8">
        <v>0.15470392999999999</v>
      </c>
      <c r="V81" s="2"/>
    </row>
    <row r="82" spans="2:22" x14ac:dyDescent="0.2">
      <c r="B82" s="8">
        <v>9</v>
      </c>
      <c r="C82" s="8">
        <v>3</v>
      </c>
      <c r="D82" s="8">
        <v>1E-3</v>
      </c>
      <c r="E82" s="8">
        <v>0.47191620000000001</v>
      </c>
      <c r="F82" s="8">
        <v>0.73768120000000004</v>
      </c>
      <c r="G82" s="8">
        <v>0.31</v>
      </c>
      <c r="H82" s="8">
        <v>0.4565051</v>
      </c>
      <c r="I82" s="8">
        <v>0.10662184</v>
      </c>
      <c r="J82" s="8">
        <v>0.27971020000000002</v>
      </c>
      <c r="K82" s="8">
        <v>0.21723418</v>
      </c>
      <c r="L82" s="8">
        <v>0.18344541</v>
      </c>
    </row>
    <row r="83" spans="2:22" x14ac:dyDescent="0.2">
      <c r="B83" s="8">
        <v>10</v>
      </c>
      <c r="C83" s="8">
        <v>3</v>
      </c>
      <c r="D83" s="8">
        <v>1E-3</v>
      </c>
      <c r="E83" s="8">
        <v>0.47341440000000001</v>
      </c>
      <c r="F83" s="8">
        <v>0.74834369999999995</v>
      </c>
      <c r="G83" s="8">
        <v>0.28499999999999998</v>
      </c>
      <c r="H83" s="8">
        <v>0.4316953</v>
      </c>
      <c r="I83" s="8">
        <v>0.10380256</v>
      </c>
      <c r="J83" s="8">
        <v>0.2524304</v>
      </c>
      <c r="K83" s="8">
        <v>0.17378098</v>
      </c>
      <c r="L83" s="8">
        <v>0.14427902000000001</v>
      </c>
    </row>
    <row r="84" spans="2:22" x14ac:dyDescent="0.2">
      <c r="B84" s="8">
        <v>0.01</v>
      </c>
      <c r="C84" s="8">
        <v>3</v>
      </c>
      <c r="D84" s="8">
        <v>0.01</v>
      </c>
      <c r="E84" s="8">
        <v>0.46398529999999999</v>
      </c>
      <c r="F84" s="8">
        <v>0.65034919999999996</v>
      </c>
      <c r="G84" s="8">
        <v>0.35071428999999998</v>
      </c>
      <c r="H84" s="8">
        <v>0.45587650000000002</v>
      </c>
      <c r="I84" s="8">
        <v>9.5970479999999997E-2</v>
      </c>
      <c r="J84" s="8">
        <v>0.23599619999999999</v>
      </c>
      <c r="K84" s="8">
        <v>0.18144123000000001</v>
      </c>
      <c r="L84" s="8">
        <v>0.16191442</v>
      </c>
    </row>
    <row r="85" spans="2:22" x14ac:dyDescent="0.2">
      <c r="B85" s="8">
        <v>0.1</v>
      </c>
      <c r="C85" s="8">
        <v>3</v>
      </c>
      <c r="D85" s="8">
        <v>0.01</v>
      </c>
      <c r="E85" s="8">
        <v>0.46407880000000001</v>
      </c>
      <c r="F85" s="8">
        <v>0.6265714</v>
      </c>
      <c r="G85" s="8">
        <v>0.35142857</v>
      </c>
      <c r="H85" s="8">
        <v>0.45199479999999997</v>
      </c>
      <c r="I85" s="8">
        <v>9.5292569999999993E-2</v>
      </c>
      <c r="J85" s="8">
        <v>0.2112155</v>
      </c>
      <c r="K85" s="8">
        <v>0.18839919999999999</v>
      </c>
      <c r="L85" s="8">
        <v>0.16902884000000001</v>
      </c>
    </row>
    <row r="86" spans="2:22" x14ac:dyDescent="0.2">
      <c r="B86" s="8">
        <v>0.5</v>
      </c>
      <c r="C86" s="8">
        <v>3</v>
      </c>
      <c r="D86" s="8">
        <v>0.01</v>
      </c>
      <c r="E86" s="8">
        <v>0.46023320000000001</v>
      </c>
      <c r="F86" s="8">
        <v>0.69494049999999996</v>
      </c>
      <c r="G86" s="8">
        <v>0.31714286000000003</v>
      </c>
      <c r="H86" s="8">
        <v>0.4514128</v>
      </c>
      <c r="I86" s="8">
        <v>0.10853198</v>
      </c>
      <c r="J86" s="8">
        <v>0.25730890000000001</v>
      </c>
      <c r="K86" s="8">
        <v>0.16690141</v>
      </c>
      <c r="L86" s="8">
        <v>0.15019830000000001</v>
      </c>
    </row>
    <row r="87" spans="2:22" x14ac:dyDescent="0.2">
      <c r="B87" s="8">
        <v>1</v>
      </c>
      <c r="C87" s="8">
        <v>3</v>
      </c>
      <c r="D87" s="8">
        <v>0.01</v>
      </c>
      <c r="E87" s="8">
        <v>0.47237649999999998</v>
      </c>
      <c r="F87" s="8">
        <v>0.76323810000000003</v>
      </c>
      <c r="G87" s="8">
        <v>0.35571428999999999</v>
      </c>
      <c r="H87" s="8">
        <v>0.4801724</v>
      </c>
      <c r="I87" s="8">
        <v>0.10330659</v>
      </c>
      <c r="J87" s="8">
        <v>0.25686900000000001</v>
      </c>
      <c r="K87" s="8">
        <v>0.18137091</v>
      </c>
      <c r="L87" s="8">
        <v>0.16707847000000001</v>
      </c>
    </row>
    <row r="88" spans="2:22" x14ac:dyDescent="0.2">
      <c r="B88" s="8">
        <v>2</v>
      </c>
      <c r="C88" s="8">
        <v>3</v>
      </c>
      <c r="D88" s="8">
        <v>0.01</v>
      </c>
      <c r="E88" s="8">
        <v>0.45574170000000003</v>
      </c>
      <c r="F88" s="8">
        <v>0.74924239999999998</v>
      </c>
      <c r="G88" s="8">
        <v>0.25</v>
      </c>
      <c r="H88" s="8">
        <v>0.40043620000000002</v>
      </c>
      <c r="I88" s="8">
        <v>8.675592E-2</v>
      </c>
      <c r="J88" s="8">
        <v>0.2382408</v>
      </c>
      <c r="K88" s="8">
        <v>0.13000196</v>
      </c>
      <c r="L88" s="8">
        <v>0.12265657000000001</v>
      </c>
    </row>
    <row r="89" spans="2:22" x14ac:dyDescent="0.2">
      <c r="B89" s="8">
        <v>3</v>
      </c>
      <c r="C89" s="8">
        <v>3</v>
      </c>
      <c r="D89" s="8">
        <v>0.01</v>
      </c>
      <c r="E89" s="8">
        <v>0.4314287</v>
      </c>
      <c r="F89" s="8">
        <v>0.67023809999999995</v>
      </c>
      <c r="G89" s="8">
        <v>0.22785714000000001</v>
      </c>
      <c r="H89" s="8">
        <v>0.40220220000000001</v>
      </c>
      <c r="I89" s="8">
        <v>9.1927770000000006E-2</v>
      </c>
      <c r="J89" s="8">
        <v>0.29003259999999997</v>
      </c>
      <c r="K89" s="8">
        <v>0.16650290000000001</v>
      </c>
      <c r="L89" s="8">
        <v>0.13022918</v>
      </c>
    </row>
    <row r="90" spans="2:22" x14ac:dyDescent="0.2">
      <c r="B90" s="8">
        <v>4</v>
      </c>
      <c r="C90" s="8">
        <v>3</v>
      </c>
      <c r="D90" s="8">
        <v>0.01</v>
      </c>
      <c r="E90" s="8">
        <v>0.42536960000000001</v>
      </c>
      <c r="F90" s="8">
        <v>0.73863639999999997</v>
      </c>
      <c r="G90" s="8">
        <v>0.2</v>
      </c>
      <c r="H90" s="8">
        <v>0.34973539999999997</v>
      </c>
      <c r="I90" s="8">
        <v>0.10263456999999999</v>
      </c>
      <c r="J90" s="8">
        <v>0.2951722</v>
      </c>
      <c r="K90" s="8">
        <v>0.12989972</v>
      </c>
      <c r="L90" s="8">
        <v>0.1252421</v>
      </c>
    </row>
    <row r="91" spans="2:22" x14ac:dyDescent="0.2">
      <c r="B91" s="8">
        <v>5</v>
      </c>
      <c r="C91" s="8">
        <v>3</v>
      </c>
      <c r="D91" s="8">
        <v>0.01</v>
      </c>
      <c r="E91" s="8">
        <v>0.41872949999999998</v>
      </c>
      <c r="F91" s="8">
        <v>0.7017544</v>
      </c>
      <c r="G91" s="8">
        <v>0.19571429000000001</v>
      </c>
      <c r="H91" s="8">
        <v>0.39904079999999997</v>
      </c>
      <c r="I91" s="8">
        <v>0.10188911</v>
      </c>
      <c r="J91" s="8">
        <v>0.3570237</v>
      </c>
      <c r="K91" s="8">
        <v>0.16182487000000001</v>
      </c>
      <c r="L91" s="8">
        <v>0.12760410999999999</v>
      </c>
    </row>
    <row r="92" spans="2:22" x14ac:dyDescent="0.2">
      <c r="B92" s="8">
        <v>6</v>
      </c>
      <c r="C92" s="8">
        <v>3</v>
      </c>
      <c r="D92" s="8">
        <v>0.01</v>
      </c>
      <c r="E92" s="8">
        <v>0.40507979999999999</v>
      </c>
      <c r="F92" s="8">
        <v>0.75749999999999995</v>
      </c>
      <c r="G92" s="8">
        <v>0.16642857</v>
      </c>
      <c r="H92" s="8">
        <v>0.34584740000000003</v>
      </c>
      <c r="I92" s="8">
        <v>0.10311947</v>
      </c>
      <c r="J92" s="8">
        <v>0.3480722</v>
      </c>
      <c r="K92" s="8">
        <v>0.14171043</v>
      </c>
      <c r="L92" s="8">
        <v>0.13909282000000001</v>
      </c>
    </row>
    <row r="93" spans="2:22" x14ac:dyDescent="0.2">
      <c r="B93" s="8">
        <v>7</v>
      </c>
      <c r="C93" s="8">
        <v>3</v>
      </c>
      <c r="D93" s="8">
        <v>0.01</v>
      </c>
      <c r="E93" s="8">
        <v>0.39703480000000002</v>
      </c>
      <c r="F93" s="8">
        <v>0.71666669999999999</v>
      </c>
      <c r="G93" s="8">
        <v>0.18</v>
      </c>
      <c r="H93" s="8">
        <v>0.3493676</v>
      </c>
      <c r="I93" s="8">
        <v>9.9570400000000003E-2</v>
      </c>
      <c r="J93" s="8">
        <v>0.29454920000000001</v>
      </c>
      <c r="K93" s="8">
        <v>0.15125257</v>
      </c>
      <c r="L93" s="8">
        <v>0.11697304</v>
      </c>
    </row>
    <row r="94" spans="2:22" x14ac:dyDescent="0.2">
      <c r="B94" s="8">
        <v>8</v>
      </c>
      <c r="C94" s="8">
        <v>3</v>
      </c>
      <c r="D94" s="8">
        <v>0.01</v>
      </c>
      <c r="E94" s="8">
        <v>0.39381240000000001</v>
      </c>
      <c r="F94" s="8">
        <v>0.6973684</v>
      </c>
      <c r="G94" s="8">
        <v>0.16</v>
      </c>
      <c r="H94" s="8">
        <v>0.3419489</v>
      </c>
      <c r="I94" s="8">
        <v>0.10321022000000001</v>
      </c>
      <c r="J94" s="8">
        <v>0.347667</v>
      </c>
      <c r="K94" s="8">
        <v>0.13496425000000001</v>
      </c>
      <c r="L94" s="8">
        <v>0.10677765</v>
      </c>
    </row>
    <row r="95" spans="2:22" x14ac:dyDescent="0.2">
      <c r="B95" s="8">
        <v>9</v>
      </c>
      <c r="C95" s="8">
        <v>3</v>
      </c>
      <c r="D95" s="8">
        <v>0.01</v>
      </c>
      <c r="E95" s="8">
        <v>0.38991550000000003</v>
      </c>
      <c r="F95" s="8">
        <v>0.63083330000000004</v>
      </c>
      <c r="G95" s="8">
        <v>0.16142856999999999</v>
      </c>
      <c r="H95" s="8">
        <v>0.30513639999999997</v>
      </c>
      <c r="I95" s="8">
        <v>0.10248224</v>
      </c>
      <c r="J95" s="8">
        <v>0.29370960000000002</v>
      </c>
      <c r="K95" s="8">
        <v>0.11928696</v>
      </c>
      <c r="L95" s="8">
        <v>0.10115680000000001</v>
      </c>
    </row>
    <row r="96" spans="2:22" x14ac:dyDescent="0.2">
      <c r="B96" s="8">
        <v>10</v>
      </c>
      <c r="C96" s="8">
        <v>3</v>
      </c>
      <c r="D96" s="8">
        <v>0.01</v>
      </c>
      <c r="E96" s="8">
        <v>0.38646829999999999</v>
      </c>
      <c r="F96" s="8">
        <v>0.62595239999999996</v>
      </c>
      <c r="G96" s="8">
        <v>0.16071429000000001</v>
      </c>
      <c r="H96" s="8">
        <v>0.34016020000000002</v>
      </c>
      <c r="I96" s="8">
        <v>9.9759470000000003E-2</v>
      </c>
      <c r="J96" s="8">
        <v>0.36736570000000002</v>
      </c>
      <c r="K96" s="8">
        <v>0.12835630000000001</v>
      </c>
      <c r="L96" s="8">
        <v>9.3258949999999993E-2</v>
      </c>
    </row>
    <row r="97" spans="2:12" x14ac:dyDescent="0.2">
      <c r="B97" s="8">
        <v>0.01</v>
      </c>
      <c r="C97" s="8">
        <v>3</v>
      </c>
      <c r="D97" s="8">
        <v>0.1</v>
      </c>
      <c r="E97" s="8">
        <v>0.43408669999999999</v>
      </c>
      <c r="F97" s="8">
        <v>0.58033330000000005</v>
      </c>
      <c r="G97" s="8">
        <v>0.29642857</v>
      </c>
      <c r="H97" s="8">
        <v>0.42960369999999998</v>
      </c>
      <c r="I97" s="8">
        <v>0.10899209</v>
      </c>
      <c r="J97" s="8">
        <v>0.303537</v>
      </c>
      <c r="K97" s="8">
        <v>0.17374428</v>
      </c>
      <c r="L97" s="8">
        <v>0.14244649000000001</v>
      </c>
    </row>
    <row r="98" spans="2:12" x14ac:dyDescent="0.2">
      <c r="B98" s="8">
        <v>0.1</v>
      </c>
      <c r="C98" s="8">
        <v>3</v>
      </c>
      <c r="D98" s="8">
        <v>0.1</v>
      </c>
      <c r="E98" s="8">
        <v>0.3746756</v>
      </c>
      <c r="F98" s="8">
        <v>0.59720499999999999</v>
      </c>
      <c r="G98" s="8">
        <v>0.20571428999999999</v>
      </c>
      <c r="H98" s="8">
        <v>0.33630500000000002</v>
      </c>
      <c r="I98" s="8">
        <v>7.1454879999999998E-2</v>
      </c>
      <c r="J98" s="8">
        <v>0.32086419999999999</v>
      </c>
      <c r="K98" s="8">
        <v>0.13194160999999999</v>
      </c>
      <c r="L98" s="8">
        <v>0.12576380000000001</v>
      </c>
    </row>
    <row r="99" spans="2:12" x14ac:dyDescent="0.2">
      <c r="B99" s="8">
        <v>0.5</v>
      </c>
      <c r="C99" s="8">
        <v>3</v>
      </c>
      <c r="D99" s="8">
        <v>0.1</v>
      </c>
      <c r="E99" s="8">
        <v>0.36517640000000001</v>
      </c>
      <c r="F99" s="8">
        <v>0.57986110000000002</v>
      </c>
      <c r="G99" s="8">
        <v>0.21214285999999999</v>
      </c>
      <c r="H99" s="8">
        <v>0.33363179999999998</v>
      </c>
      <c r="I99" s="8">
        <v>7.1395600000000004E-2</v>
      </c>
      <c r="J99" s="8">
        <v>0.30782779999999998</v>
      </c>
      <c r="K99" s="8">
        <v>0.13135625000000001</v>
      </c>
      <c r="L99" s="8">
        <v>0.1317345</v>
      </c>
    </row>
    <row r="100" spans="2:12" x14ac:dyDescent="0.2">
      <c r="B100" s="8">
        <v>1</v>
      </c>
      <c r="C100" s="8">
        <v>3</v>
      </c>
      <c r="D100" s="8">
        <v>0.1</v>
      </c>
      <c r="E100" s="8">
        <v>0.36517640000000001</v>
      </c>
      <c r="F100" s="8">
        <v>0.54305559999999997</v>
      </c>
      <c r="G100" s="8">
        <v>0.20571428999999999</v>
      </c>
      <c r="H100" s="8">
        <v>0.33508529999999997</v>
      </c>
      <c r="I100" s="8">
        <v>7.1395600000000004E-2</v>
      </c>
      <c r="J100" s="8">
        <v>0.31824229999999998</v>
      </c>
      <c r="K100" s="8">
        <v>0.13967056</v>
      </c>
      <c r="L100" s="8">
        <v>0.13315387000000001</v>
      </c>
    </row>
    <row r="101" spans="2:12" x14ac:dyDescent="0.2">
      <c r="B101" s="8">
        <v>2</v>
      </c>
      <c r="C101" s="8">
        <v>3</v>
      </c>
      <c r="D101" s="8">
        <v>0.1</v>
      </c>
      <c r="E101" s="8">
        <v>0.36517640000000001</v>
      </c>
      <c r="F101" s="8">
        <v>0.56956519999999999</v>
      </c>
      <c r="G101" s="8">
        <v>0.2</v>
      </c>
      <c r="H101" s="8">
        <v>0.335594</v>
      </c>
      <c r="I101" s="8">
        <v>7.1395600000000004E-2</v>
      </c>
      <c r="J101" s="8">
        <v>0.28668480000000002</v>
      </c>
      <c r="K101" s="8">
        <v>0.12637424999999999</v>
      </c>
      <c r="L101" s="8">
        <v>0.1247595</v>
      </c>
    </row>
    <row r="102" spans="2:12" x14ac:dyDescent="0.2">
      <c r="B102" s="8">
        <v>3</v>
      </c>
      <c r="C102" s="8">
        <v>3</v>
      </c>
      <c r="D102" s="8">
        <v>0.1</v>
      </c>
      <c r="E102" s="8">
        <v>0.36517640000000001</v>
      </c>
      <c r="F102" s="8">
        <v>0.62981370000000003</v>
      </c>
      <c r="G102" s="8">
        <v>0.19071429000000001</v>
      </c>
      <c r="H102" s="8">
        <v>0.33991700000000002</v>
      </c>
      <c r="I102" s="8">
        <v>7.1395600000000004E-2</v>
      </c>
      <c r="J102" s="8">
        <v>0.3759499</v>
      </c>
      <c r="K102" s="8">
        <v>0.13469227</v>
      </c>
      <c r="L102" s="8">
        <v>0.13038738999999999</v>
      </c>
    </row>
    <row r="103" spans="2:12" x14ac:dyDescent="0.2">
      <c r="B103" s="8">
        <v>4</v>
      </c>
      <c r="C103" s="8">
        <v>3</v>
      </c>
      <c r="D103" s="8">
        <v>0.1</v>
      </c>
      <c r="E103" s="8">
        <v>0.36517640000000001</v>
      </c>
      <c r="F103" s="8">
        <v>0.60833329999999997</v>
      </c>
      <c r="G103" s="8">
        <v>0.21142857000000001</v>
      </c>
      <c r="H103" s="8">
        <v>0.32430829999999999</v>
      </c>
      <c r="I103" s="8">
        <v>7.1395600000000004E-2</v>
      </c>
      <c r="J103" s="8">
        <v>0.29785869999999998</v>
      </c>
      <c r="K103" s="8">
        <v>0.12195265</v>
      </c>
      <c r="L103" s="8">
        <v>0.13697193999999999</v>
      </c>
    </row>
    <row r="104" spans="2:12" x14ac:dyDescent="0.2">
      <c r="B104" s="8">
        <v>5</v>
      </c>
      <c r="C104" s="8">
        <v>3</v>
      </c>
      <c r="D104" s="8">
        <v>0.1</v>
      </c>
      <c r="E104" s="8">
        <v>0.36517640000000001</v>
      </c>
      <c r="F104" s="8">
        <v>0.54865419999999998</v>
      </c>
      <c r="G104" s="8">
        <v>0.22357142999999999</v>
      </c>
      <c r="H104" s="8">
        <v>0.33245970000000002</v>
      </c>
      <c r="I104" s="8">
        <v>7.1395600000000004E-2</v>
      </c>
      <c r="J104" s="8">
        <v>0.27837230000000002</v>
      </c>
      <c r="K104" s="8">
        <v>0.12950225000000001</v>
      </c>
      <c r="L104" s="8">
        <v>0.12046802</v>
      </c>
    </row>
    <row r="105" spans="2:12" x14ac:dyDescent="0.2">
      <c r="B105" s="8">
        <v>6</v>
      </c>
      <c r="C105" s="8">
        <v>3</v>
      </c>
      <c r="D105" s="8">
        <v>0.1</v>
      </c>
      <c r="E105" s="8">
        <v>0.36517640000000001</v>
      </c>
      <c r="F105" s="8">
        <v>0.62926590000000004</v>
      </c>
      <c r="G105" s="8">
        <v>0.19357142999999999</v>
      </c>
      <c r="H105" s="8">
        <v>0.31570900000000002</v>
      </c>
      <c r="I105" s="8">
        <v>7.1395600000000004E-2</v>
      </c>
      <c r="J105" s="8">
        <v>0.320073</v>
      </c>
      <c r="K105" s="8">
        <v>0.11159881000000001</v>
      </c>
      <c r="L105" s="8">
        <v>0.10615635</v>
      </c>
    </row>
    <row r="106" spans="2:12" x14ac:dyDescent="0.2">
      <c r="B106" s="8">
        <v>7</v>
      </c>
      <c r="C106" s="8">
        <v>3</v>
      </c>
      <c r="D106" s="8">
        <v>0.1</v>
      </c>
      <c r="E106" s="8">
        <v>0.36517640000000001</v>
      </c>
      <c r="F106" s="8">
        <v>0.57391300000000001</v>
      </c>
      <c r="G106" s="8">
        <v>0.2</v>
      </c>
      <c r="H106" s="8">
        <v>0.33317869999999999</v>
      </c>
      <c r="I106" s="8">
        <v>7.1395600000000004E-2</v>
      </c>
      <c r="J106" s="8">
        <v>0.26642159999999998</v>
      </c>
      <c r="K106" s="8">
        <v>0.12637424999999999</v>
      </c>
      <c r="L106" s="8">
        <v>0.11370628000000001</v>
      </c>
    </row>
    <row r="107" spans="2:12" x14ac:dyDescent="0.2">
      <c r="B107" s="8">
        <v>8</v>
      </c>
      <c r="C107" s="8">
        <v>3</v>
      </c>
      <c r="D107" s="8">
        <v>0.1</v>
      </c>
      <c r="E107" s="8">
        <v>0.36517640000000001</v>
      </c>
      <c r="F107" s="8">
        <v>0.55797099999999999</v>
      </c>
      <c r="G107" s="8">
        <v>0.18285714</v>
      </c>
      <c r="H107" s="8">
        <v>0.32252530000000001</v>
      </c>
      <c r="I107" s="8">
        <v>7.1395600000000004E-2</v>
      </c>
      <c r="J107" s="8">
        <v>0.34207729999999997</v>
      </c>
      <c r="K107" s="8">
        <v>0.12310209</v>
      </c>
      <c r="L107" s="8">
        <v>0.11685315</v>
      </c>
    </row>
    <row r="108" spans="2:12" x14ac:dyDescent="0.2">
      <c r="B108" s="8">
        <v>9</v>
      </c>
      <c r="C108" s="8">
        <v>3</v>
      </c>
      <c r="D108" s="8">
        <v>0.1</v>
      </c>
      <c r="E108" s="8">
        <v>0.36517640000000001</v>
      </c>
      <c r="F108" s="8">
        <v>0.53722939999999997</v>
      </c>
      <c r="G108" s="8">
        <v>0.20714286000000001</v>
      </c>
      <c r="H108" s="8">
        <v>0.33151900000000001</v>
      </c>
      <c r="I108" s="8">
        <v>7.1395600000000004E-2</v>
      </c>
      <c r="J108" s="8">
        <v>0.2393093</v>
      </c>
      <c r="K108" s="8">
        <v>0.13412684</v>
      </c>
      <c r="L108" s="8">
        <v>0.12585133000000001</v>
      </c>
    </row>
    <row r="109" spans="2:12" x14ac:dyDescent="0.2">
      <c r="B109" s="8">
        <v>10</v>
      </c>
      <c r="C109" s="8">
        <v>3</v>
      </c>
      <c r="D109" s="8">
        <v>0.1</v>
      </c>
      <c r="E109" s="8">
        <v>0.36517640000000001</v>
      </c>
      <c r="F109" s="8">
        <v>0.59140789999999999</v>
      </c>
      <c r="G109" s="8">
        <v>0.18857143000000001</v>
      </c>
      <c r="H109" s="8">
        <v>0.32190269999999999</v>
      </c>
      <c r="I109" s="8">
        <v>7.1395600000000004E-2</v>
      </c>
      <c r="J109" s="8">
        <v>0.30843530000000002</v>
      </c>
      <c r="K109" s="8">
        <v>0.10996772</v>
      </c>
      <c r="L109" s="8">
        <v>0.10535781</v>
      </c>
    </row>
    <row r="110" spans="2:12" x14ac:dyDescent="0.2">
      <c r="B110" s="8">
        <v>0.01</v>
      </c>
      <c r="C110" s="8">
        <v>3</v>
      </c>
      <c r="D110" s="8">
        <v>1</v>
      </c>
      <c r="E110" s="8">
        <v>0.38673039999999997</v>
      </c>
      <c r="F110" s="8">
        <v>0.68055560000000004</v>
      </c>
      <c r="G110" s="8">
        <v>0.20714286000000001</v>
      </c>
      <c r="H110" s="8">
        <v>0.3606357</v>
      </c>
      <c r="I110" s="8">
        <v>8.8386820000000005E-2</v>
      </c>
      <c r="J110" s="8">
        <v>0.34285910000000003</v>
      </c>
      <c r="K110" s="8">
        <v>0.12403968</v>
      </c>
      <c r="L110" s="8">
        <v>0.10975263</v>
      </c>
    </row>
    <row r="111" spans="2:12" x14ac:dyDescent="0.2">
      <c r="B111" s="8">
        <v>0.1</v>
      </c>
      <c r="C111" s="8">
        <v>3</v>
      </c>
      <c r="D111" s="8">
        <v>1</v>
      </c>
      <c r="E111" s="8">
        <v>0.38673039999999997</v>
      </c>
      <c r="F111" s="8">
        <v>0.65555560000000002</v>
      </c>
      <c r="G111" s="8">
        <v>0.21142857000000001</v>
      </c>
      <c r="H111" s="8">
        <v>0.3838241</v>
      </c>
      <c r="I111" s="8">
        <v>8.8386820000000005E-2</v>
      </c>
      <c r="J111" s="8">
        <v>0.32716519999999999</v>
      </c>
      <c r="K111" s="8">
        <v>0.15158250000000001</v>
      </c>
      <c r="L111" s="8">
        <v>0.12446872</v>
      </c>
    </row>
    <row r="112" spans="2:12" x14ac:dyDescent="0.2">
      <c r="B112" s="8">
        <v>0.5</v>
      </c>
      <c r="C112" s="8">
        <v>3</v>
      </c>
      <c r="D112" s="8">
        <v>1</v>
      </c>
      <c r="E112" s="8">
        <v>0.38673039999999997</v>
      </c>
      <c r="F112" s="8">
        <v>0.70075759999999998</v>
      </c>
      <c r="G112" s="8">
        <v>0.21428570999999999</v>
      </c>
      <c r="H112" s="8">
        <v>0.37831389999999998</v>
      </c>
      <c r="I112" s="8">
        <v>8.8386820000000005E-2</v>
      </c>
      <c r="J112" s="8">
        <v>0.32027919999999999</v>
      </c>
      <c r="K112" s="8">
        <v>0.14387657000000001</v>
      </c>
      <c r="L112" s="8">
        <v>0.11848203</v>
      </c>
    </row>
    <row r="113" spans="2:12" x14ac:dyDescent="0.2">
      <c r="B113" s="8">
        <v>1</v>
      </c>
      <c r="C113" s="8">
        <v>3</v>
      </c>
      <c r="D113" s="8">
        <v>1</v>
      </c>
      <c r="E113" s="8">
        <v>0.38673039999999997</v>
      </c>
      <c r="F113" s="8">
        <v>0.6875</v>
      </c>
      <c r="G113" s="8">
        <v>0.20714286000000001</v>
      </c>
      <c r="H113" s="8">
        <v>0.35416069999999999</v>
      </c>
      <c r="I113" s="8">
        <v>8.8386820000000005E-2</v>
      </c>
      <c r="J113" s="8">
        <v>0.33844809999999997</v>
      </c>
      <c r="K113" s="8">
        <v>0.13071542</v>
      </c>
      <c r="L113" s="8">
        <v>0.10930347</v>
      </c>
    </row>
    <row r="114" spans="2:12" x14ac:dyDescent="0.2">
      <c r="B114" s="8">
        <v>2</v>
      </c>
      <c r="C114" s="8">
        <v>3</v>
      </c>
      <c r="D114" s="8">
        <v>1</v>
      </c>
      <c r="E114" s="8">
        <v>0.38673039999999997</v>
      </c>
      <c r="F114" s="8">
        <v>0.66041669999999997</v>
      </c>
      <c r="G114" s="8">
        <v>0.19500000000000001</v>
      </c>
      <c r="H114" s="8">
        <v>0.33809519999999998</v>
      </c>
      <c r="I114" s="8">
        <v>8.8386820000000005E-2</v>
      </c>
      <c r="J114" s="8">
        <v>0.33220139999999998</v>
      </c>
      <c r="K114" s="8">
        <v>0.12154231</v>
      </c>
      <c r="L114" s="8">
        <v>0.101967</v>
      </c>
    </row>
    <row r="115" spans="2:12" x14ac:dyDescent="0.2">
      <c r="B115" s="8">
        <v>3</v>
      </c>
      <c r="C115" s="8">
        <v>3</v>
      </c>
      <c r="D115" s="8">
        <v>1</v>
      </c>
      <c r="E115" s="8">
        <v>0.38673039999999997</v>
      </c>
      <c r="F115" s="8">
        <v>0.66287879999999999</v>
      </c>
      <c r="G115" s="8">
        <v>0.20714286000000001</v>
      </c>
      <c r="H115" s="8">
        <v>0.34573019999999999</v>
      </c>
      <c r="I115" s="8">
        <v>8.8386820000000005E-2</v>
      </c>
      <c r="J115" s="8">
        <v>0.30528549999999999</v>
      </c>
      <c r="K115" s="8">
        <v>0.13071542</v>
      </c>
      <c r="L115" s="8">
        <v>0.11999577</v>
      </c>
    </row>
    <row r="116" spans="2:12" x14ac:dyDescent="0.2">
      <c r="B116" s="8">
        <v>4</v>
      </c>
      <c r="C116" s="8">
        <v>3</v>
      </c>
      <c r="D116" s="8">
        <v>1</v>
      </c>
      <c r="E116" s="8">
        <v>0.38673039999999997</v>
      </c>
      <c r="F116" s="8">
        <v>0.68550719999999998</v>
      </c>
      <c r="G116" s="8">
        <v>0.21857143000000001</v>
      </c>
      <c r="H116" s="8">
        <v>0.37162099999999998</v>
      </c>
      <c r="I116" s="8">
        <v>8.8386820000000005E-2</v>
      </c>
      <c r="J116" s="8">
        <v>0.29807060000000002</v>
      </c>
      <c r="K116" s="8">
        <v>0.13719044</v>
      </c>
      <c r="L116" s="8">
        <v>0.12180187000000001</v>
      </c>
    </row>
    <row r="117" spans="2:12" x14ac:dyDescent="0.2">
      <c r="B117" s="8">
        <v>5</v>
      </c>
      <c r="C117" s="8">
        <v>3</v>
      </c>
      <c r="D117" s="8">
        <v>1</v>
      </c>
      <c r="E117" s="8">
        <v>0.38673039999999997</v>
      </c>
      <c r="F117" s="8">
        <v>0.67898550000000002</v>
      </c>
      <c r="G117" s="8">
        <v>0.22357142999999999</v>
      </c>
      <c r="H117" s="8">
        <v>0.36551410000000001</v>
      </c>
      <c r="I117" s="8">
        <v>8.8386820000000005E-2</v>
      </c>
      <c r="J117" s="8">
        <v>0.32361659999999998</v>
      </c>
      <c r="K117" s="8">
        <v>0.14061862</v>
      </c>
      <c r="L117" s="8">
        <v>0.11543044</v>
      </c>
    </row>
    <row r="118" spans="2:12" x14ac:dyDescent="0.2">
      <c r="B118" s="8">
        <v>6</v>
      </c>
      <c r="C118" s="8">
        <v>3</v>
      </c>
      <c r="D118" s="8">
        <v>1</v>
      </c>
      <c r="E118" s="8">
        <v>0.38673039999999997</v>
      </c>
      <c r="F118" s="8">
        <v>0.70072460000000003</v>
      </c>
      <c r="G118" s="8">
        <v>0.22428571</v>
      </c>
      <c r="H118" s="8">
        <v>0.35275129999999999</v>
      </c>
      <c r="I118" s="8">
        <v>8.8386820000000005E-2</v>
      </c>
      <c r="J118" s="8">
        <v>0.29325230000000002</v>
      </c>
      <c r="K118" s="8">
        <v>0.13052011999999999</v>
      </c>
      <c r="L118" s="8">
        <v>0.11190809</v>
      </c>
    </row>
    <row r="119" spans="2:12" x14ac:dyDescent="0.2">
      <c r="B119" s="8">
        <v>7</v>
      </c>
      <c r="C119" s="8">
        <v>3</v>
      </c>
      <c r="D119" s="8">
        <v>1</v>
      </c>
      <c r="E119" s="8">
        <v>0.38673039999999997</v>
      </c>
      <c r="F119" s="8">
        <v>0.64202899999999996</v>
      </c>
      <c r="G119" s="8">
        <v>0.20071428999999999</v>
      </c>
      <c r="H119" s="8">
        <v>0.34451660000000001</v>
      </c>
      <c r="I119" s="8">
        <v>8.8386820000000005E-2</v>
      </c>
      <c r="J119" s="8">
        <v>0.28461690000000001</v>
      </c>
      <c r="K119" s="8">
        <v>0.13064222</v>
      </c>
      <c r="L119" s="8">
        <v>0.12007656999999999</v>
      </c>
    </row>
    <row r="120" spans="2:12" x14ac:dyDescent="0.2">
      <c r="B120" s="8">
        <v>8</v>
      </c>
      <c r="C120" s="8">
        <v>3</v>
      </c>
      <c r="D120" s="8">
        <v>1</v>
      </c>
      <c r="E120" s="8">
        <v>0.38673039999999997</v>
      </c>
      <c r="F120" s="8">
        <v>0.66666669999999995</v>
      </c>
      <c r="G120" s="8">
        <v>0.19714286</v>
      </c>
      <c r="H120" s="8">
        <v>0.36866640000000001</v>
      </c>
      <c r="I120" s="8">
        <v>8.8386820000000005E-2</v>
      </c>
      <c r="J120" s="8">
        <v>0.32214559999999998</v>
      </c>
      <c r="K120" s="8">
        <v>0.13525925999999999</v>
      </c>
      <c r="L120" s="8">
        <v>0.10311109</v>
      </c>
    </row>
    <row r="121" spans="2:12" x14ac:dyDescent="0.2">
      <c r="B121" s="8">
        <v>9</v>
      </c>
      <c r="C121" s="8">
        <v>3</v>
      </c>
      <c r="D121" s="8">
        <v>1</v>
      </c>
      <c r="E121" s="8">
        <v>0.38673039999999997</v>
      </c>
      <c r="F121" s="8">
        <v>0.69015150000000003</v>
      </c>
      <c r="G121" s="8">
        <v>0.23071428999999999</v>
      </c>
      <c r="H121" s="8">
        <v>0.38535350000000002</v>
      </c>
      <c r="I121" s="8">
        <v>8.8386820000000005E-2</v>
      </c>
      <c r="J121" s="8">
        <v>0.29540840000000002</v>
      </c>
      <c r="K121" s="8">
        <v>0.13579258</v>
      </c>
      <c r="L121" s="8">
        <v>0.1163115</v>
      </c>
    </row>
    <row r="122" spans="2:12" x14ac:dyDescent="0.2">
      <c r="B122" s="8">
        <v>10</v>
      </c>
      <c r="C122" s="8">
        <v>3</v>
      </c>
      <c r="D122" s="8">
        <v>1</v>
      </c>
      <c r="E122" s="8">
        <v>0.38673039999999997</v>
      </c>
      <c r="F122" s="8">
        <v>0.66590910000000003</v>
      </c>
      <c r="G122" s="8">
        <v>0.23714286000000001</v>
      </c>
      <c r="H122" s="8">
        <v>0.42708259999999998</v>
      </c>
      <c r="I122" s="8">
        <v>8.8386820000000005E-2</v>
      </c>
      <c r="J122" s="8">
        <v>0.3412348</v>
      </c>
      <c r="K122" s="8">
        <v>0.15766957000000001</v>
      </c>
      <c r="L122" s="8">
        <v>9.8380570000000001E-2</v>
      </c>
    </row>
    <row r="123" spans="2:12" x14ac:dyDescent="0.2">
      <c r="B123" s="8">
        <v>0.01</v>
      </c>
      <c r="C123" s="8">
        <v>3</v>
      </c>
      <c r="D123" s="8">
        <v>2</v>
      </c>
      <c r="E123" s="8">
        <v>0.38333650000000002</v>
      </c>
      <c r="F123" s="8">
        <v>0.72536230000000002</v>
      </c>
      <c r="G123" s="8">
        <v>0.23499999999999999</v>
      </c>
      <c r="H123" s="8">
        <v>0.3734266</v>
      </c>
      <c r="I123" s="8">
        <v>8.9156260000000001E-2</v>
      </c>
      <c r="J123" s="8">
        <v>0.27537250000000002</v>
      </c>
      <c r="K123" s="8">
        <v>0.14217471000000001</v>
      </c>
      <c r="L123" s="8">
        <v>0.12328016999999999</v>
      </c>
    </row>
    <row r="124" spans="2:12" x14ac:dyDescent="0.2">
      <c r="B124" s="8">
        <v>0.1</v>
      </c>
      <c r="C124" s="8">
        <v>3</v>
      </c>
      <c r="D124" s="8">
        <v>2</v>
      </c>
      <c r="E124" s="8">
        <v>0.38333650000000002</v>
      </c>
      <c r="F124" s="8">
        <v>0.67142860000000004</v>
      </c>
      <c r="G124" s="8">
        <v>0.19714286</v>
      </c>
      <c r="H124" s="8">
        <v>0.38738669999999997</v>
      </c>
      <c r="I124" s="8">
        <v>8.9156260000000001E-2</v>
      </c>
      <c r="J124" s="8">
        <v>0.3625582</v>
      </c>
      <c r="K124" s="8">
        <v>0.14729708</v>
      </c>
      <c r="L124" s="8">
        <v>0.10419952</v>
      </c>
    </row>
    <row r="125" spans="2:12" x14ac:dyDescent="0.2">
      <c r="B125" s="8">
        <v>0.5</v>
      </c>
      <c r="C125" s="8">
        <v>3</v>
      </c>
      <c r="D125" s="8">
        <v>2</v>
      </c>
      <c r="E125" s="8">
        <v>0.38333650000000002</v>
      </c>
      <c r="F125" s="8">
        <v>0.71333329999999995</v>
      </c>
      <c r="G125" s="8">
        <v>0.24</v>
      </c>
      <c r="H125" s="8">
        <v>0.3726834</v>
      </c>
      <c r="I125" s="8">
        <v>8.9156260000000001E-2</v>
      </c>
      <c r="J125" s="8">
        <v>0.32677580000000001</v>
      </c>
      <c r="K125" s="8">
        <v>0.13264063000000001</v>
      </c>
      <c r="L125" s="8">
        <v>0.13788130000000001</v>
      </c>
    </row>
    <row r="126" spans="2:12" x14ac:dyDescent="0.2">
      <c r="B126" s="8">
        <v>1</v>
      </c>
      <c r="C126" s="8">
        <v>3</v>
      </c>
      <c r="D126" s="8">
        <v>2</v>
      </c>
      <c r="E126" s="8">
        <v>0.38333650000000002</v>
      </c>
      <c r="F126" s="8">
        <v>0.69188309999999997</v>
      </c>
      <c r="G126" s="8">
        <v>0.22500000000000001</v>
      </c>
      <c r="H126" s="8">
        <v>0.3847544</v>
      </c>
      <c r="I126" s="8">
        <v>8.9156260000000001E-2</v>
      </c>
      <c r="J126" s="8">
        <v>0.31779859999999999</v>
      </c>
      <c r="K126" s="8">
        <v>0.15395854</v>
      </c>
      <c r="L126" s="8">
        <v>0.10651866</v>
      </c>
    </row>
    <row r="127" spans="2:12" x14ac:dyDescent="0.2">
      <c r="B127" s="8">
        <v>2</v>
      </c>
      <c r="C127" s="8">
        <v>3</v>
      </c>
      <c r="D127" s="8">
        <v>2</v>
      </c>
      <c r="E127" s="8">
        <v>0.38333650000000002</v>
      </c>
      <c r="F127" s="8">
        <v>0.68636359999999996</v>
      </c>
      <c r="G127" s="8">
        <v>0.19642857</v>
      </c>
      <c r="H127" s="8">
        <v>0.33629700000000001</v>
      </c>
      <c r="I127" s="8">
        <v>8.9156260000000001E-2</v>
      </c>
      <c r="J127" s="8">
        <v>0.28948210000000002</v>
      </c>
      <c r="K127" s="8">
        <v>0.1224224</v>
      </c>
      <c r="L127" s="8">
        <v>0.10850046000000001</v>
      </c>
    </row>
    <row r="128" spans="2:12" x14ac:dyDescent="0.2">
      <c r="B128" s="8">
        <v>3</v>
      </c>
      <c r="C128" s="8">
        <v>3</v>
      </c>
      <c r="D128" s="8">
        <v>2</v>
      </c>
      <c r="E128" s="8">
        <v>0.38333650000000002</v>
      </c>
      <c r="F128" s="8">
        <v>0.69166669999999997</v>
      </c>
      <c r="G128" s="8">
        <v>0.21857143000000001</v>
      </c>
      <c r="H128" s="8">
        <v>0.38270199999999999</v>
      </c>
      <c r="I128" s="8">
        <v>8.9156260000000001E-2</v>
      </c>
      <c r="J128" s="8">
        <v>0.32345479999999999</v>
      </c>
      <c r="K128" s="8">
        <v>0.14637412</v>
      </c>
      <c r="L128" s="8">
        <v>0.12152282</v>
      </c>
    </row>
    <row r="129" spans="2:12" x14ac:dyDescent="0.2">
      <c r="B129" s="8">
        <v>4</v>
      </c>
      <c r="C129" s="8">
        <v>3</v>
      </c>
      <c r="D129" s="8">
        <v>2</v>
      </c>
      <c r="E129" s="8">
        <v>0.38333650000000002</v>
      </c>
      <c r="F129" s="8">
        <v>0.6951389</v>
      </c>
      <c r="G129" s="8">
        <v>0.22928571</v>
      </c>
      <c r="H129" s="8">
        <v>0.35474820000000001</v>
      </c>
      <c r="I129" s="8">
        <v>8.9156260000000001E-2</v>
      </c>
      <c r="J129" s="8">
        <v>0.29633340000000002</v>
      </c>
      <c r="K129" s="8">
        <v>0.12379092</v>
      </c>
      <c r="L129" s="8">
        <v>0.12725470999999999</v>
      </c>
    </row>
    <row r="130" spans="2:12" x14ac:dyDescent="0.2">
      <c r="B130" s="8">
        <v>5</v>
      </c>
      <c r="C130" s="8">
        <v>3</v>
      </c>
      <c r="D130" s="8">
        <v>2</v>
      </c>
      <c r="E130" s="8">
        <v>0.38333650000000002</v>
      </c>
      <c r="F130" s="8">
        <v>0.73405799999999999</v>
      </c>
      <c r="G130" s="8">
        <v>0.23571428999999999</v>
      </c>
      <c r="H130" s="8">
        <v>0.37736989999999998</v>
      </c>
      <c r="I130" s="8">
        <v>8.9156260000000001E-2</v>
      </c>
      <c r="J130" s="8">
        <v>0.29299389999999997</v>
      </c>
      <c r="K130" s="8">
        <v>0.13550657999999999</v>
      </c>
      <c r="L130" s="8">
        <v>0.12782569999999999</v>
      </c>
    </row>
    <row r="131" spans="2:12" x14ac:dyDescent="0.2">
      <c r="B131" s="8">
        <v>6</v>
      </c>
      <c r="C131" s="8">
        <v>3</v>
      </c>
      <c r="D131" s="8">
        <v>2</v>
      </c>
      <c r="E131" s="8">
        <v>0.38333650000000002</v>
      </c>
      <c r="F131" s="8">
        <v>0.64206350000000001</v>
      </c>
      <c r="G131" s="8">
        <v>0.22928571</v>
      </c>
      <c r="H131" s="8">
        <v>0.38926769999999999</v>
      </c>
      <c r="I131" s="8">
        <v>8.9156260000000001E-2</v>
      </c>
      <c r="J131" s="8">
        <v>0.27149889999999999</v>
      </c>
      <c r="K131" s="8">
        <v>0.14910803</v>
      </c>
      <c r="L131" s="8">
        <v>0.1242021</v>
      </c>
    </row>
    <row r="132" spans="2:12" x14ac:dyDescent="0.2">
      <c r="B132" s="8">
        <v>7</v>
      </c>
      <c r="C132" s="8">
        <v>3</v>
      </c>
      <c r="D132" s="8">
        <v>2</v>
      </c>
      <c r="E132" s="8">
        <v>0.38333650000000002</v>
      </c>
      <c r="F132" s="8">
        <v>0.69696970000000003</v>
      </c>
      <c r="G132" s="8">
        <v>0.21285714</v>
      </c>
      <c r="H132" s="8">
        <v>0.35892259999999998</v>
      </c>
      <c r="I132" s="8">
        <v>8.9156260000000001E-2</v>
      </c>
      <c r="J132" s="8">
        <v>0.2863581</v>
      </c>
      <c r="K132" s="8">
        <v>0.13725240999999999</v>
      </c>
      <c r="L132" s="8">
        <v>0.12424821</v>
      </c>
    </row>
    <row r="133" spans="2:12" x14ac:dyDescent="0.2">
      <c r="B133" s="8">
        <v>8</v>
      </c>
      <c r="C133" s="8">
        <v>3</v>
      </c>
      <c r="D133" s="8">
        <v>2</v>
      </c>
      <c r="E133" s="8">
        <v>0.38333650000000002</v>
      </c>
      <c r="F133" s="8">
        <v>0.67424240000000002</v>
      </c>
      <c r="G133" s="8">
        <v>0.21928570999999999</v>
      </c>
      <c r="H133" s="8">
        <v>0.37600620000000001</v>
      </c>
      <c r="I133" s="8">
        <v>8.9156260000000001E-2</v>
      </c>
      <c r="J133" s="8">
        <v>0.32053720000000002</v>
      </c>
      <c r="K133" s="8">
        <v>0.14864753</v>
      </c>
      <c r="L133" s="8">
        <v>0.11816846</v>
      </c>
    </row>
    <row r="134" spans="2:12" x14ac:dyDescent="0.2">
      <c r="B134" s="8">
        <v>9</v>
      </c>
      <c r="C134" s="8">
        <v>3</v>
      </c>
      <c r="D134" s="8">
        <v>2</v>
      </c>
      <c r="E134" s="8">
        <v>0.38333650000000002</v>
      </c>
      <c r="F134" s="8">
        <v>0.67619050000000003</v>
      </c>
      <c r="G134" s="8">
        <v>0.22357142999999999</v>
      </c>
      <c r="H134" s="8">
        <v>0.37822790000000001</v>
      </c>
      <c r="I134" s="8">
        <v>8.9156260000000001E-2</v>
      </c>
      <c r="J134" s="8">
        <v>0.30733739999999998</v>
      </c>
      <c r="K134" s="8">
        <v>0.12950225000000001</v>
      </c>
      <c r="L134" s="8">
        <v>0.10612650999999999</v>
      </c>
    </row>
    <row r="135" spans="2:12" x14ac:dyDescent="0.2">
      <c r="B135" s="8">
        <v>10</v>
      </c>
      <c r="C135" s="8">
        <v>3</v>
      </c>
      <c r="D135" s="8">
        <v>2</v>
      </c>
      <c r="E135" s="8">
        <v>0.38333650000000002</v>
      </c>
      <c r="F135" s="8">
        <v>0.72173909999999997</v>
      </c>
      <c r="G135" s="8">
        <v>0.22357142999999999</v>
      </c>
      <c r="H135" s="8">
        <v>0.36017159999999998</v>
      </c>
      <c r="I135" s="8">
        <v>8.9156260000000001E-2</v>
      </c>
      <c r="J135" s="8">
        <v>0.2933366</v>
      </c>
      <c r="K135" s="8">
        <v>0.12276055</v>
      </c>
      <c r="L135" s="8">
        <v>0.10427077</v>
      </c>
    </row>
    <row r="140" spans="2:12" x14ac:dyDescent="0.2">
      <c r="B140" s="2"/>
    </row>
    <row r="141" spans="2:12" x14ac:dyDescent="0.2">
      <c r="B141" s="2"/>
    </row>
    <row r="142" spans="2:12" x14ac:dyDescent="0.2">
      <c r="B142" s="2"/>
    </row>
    <row r="143" spans="2:12" x14ac:dyDescent="0.2">
      <c r="B143" s="2"/>
    </row>
    <row r="144" spans="2:1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</sheetData>
  <mergeCells count="9">
    <mergeCell ref="V48:V49"/>
    <mergeCell ref="N24:O24"/>
    <mergeCell ref="N47:R47"/>
    <mergeCell ref="B2:V2"/>
    <mergeCell ref="B4:L4"/>
    <mergeCell ref="N4:P4"/>
    <mergeCell ref="T4:U4"/>
    <mergeCell ref="N9:O9"/>
    <mergeCell ref="N19:P1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DE7E-15B8-9E42-8316-58C229EB87B7}">
  <dimension ref="B1:AL261"/>
  <sheetViews>
    <sheetView topLeftCell="M1" zoomScale="50" zoomScaleNormal="100" workbookViewId="0">
      <selection activeCell="U6" sqref="U6:U42"/>
    </sheetView>
  </sheetViews>
  <sheetFormatPr baseColWidth="10" defaultColWidth="11" defaultRowHeight="16" x14ac:dyDescent="0.2"/>
  <cols>
    <col min="1" max="1" width="4.5" customWidth="1"/>
    <col min="2" max="2" width="13.83203125" customWidth="1"/>
    <col min="3" max="4" width="12.5" customWidth="1"/>
    <col min="5" max="5" width="13" customWidth="1"/>
    <col min="6" max="6" width="24.1640625" customWidth="1"/>
    <col min="7" max="7" width="13.33203125" bestFit="1" customWidth="1"/>
    <col min="8" max="8" width="17.33203125" customWidth="1"/>
    <col min="9" max="9" width="13.5" customWidth="1"/>
    <col min="10" max="11" width="15.83203125" customWidth="1"/>
    <col min="12" max="12" width="5.83203125" customWidth="1"/>
    <col min="13" max="14" width="28" bestFit="1" customWidth="1"/>
    <col min="15" max="15" width="22.33203125" bestFit="1" customWidth="1"/>
    <col min="16" max="16" width="3.83203125" customWidth="1"/>
    <col min="17" max="17" width="22" bestFit="1" customWidth="1"/>
    <col min="18" max="18" width="22.83203125" bestFit="1" customWidth="1"/>
    <col min="19" max="19" width="19" customWidth="1"/>
    <col min="20" max="20" width="11.6640625" customWidth="1"/>
    <col min="21" max="21" width="28.33203125" bestFit="1" customWidth="1"/>
  </cols>
  <sheetData>
    <row r="1" spans="2:26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6" x14ac:dyDescent="0.2">
      <c r="B2" s="55" t="s">
        <v>154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6"/>
    </row>
    <row r="3" spans="2:26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"/>
      <c r="N3" s="6"/>
      <c r="O3" s="6"/>
      <c r="P3" s="6"/>
      <c r="Q3" s="6"/>
      <c r="R3" s="5"/>
      <c r="S3" s="5"/>
      <c r="T3" s="5"/>
      <c r="U3" s="5"/>
    </row>
    <row r="4" spans="2:26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 t="s">
        <v>36</v>
      </c>
      <c r="N4" s="49"/>
      <c r="O4" s="49"/>
      <c r="P4" s="6"/>
      <c r="Q4" s="23" t="s">
        <v>30</v>
      </c>
      <c r="R4" s="23" t="s">
        <v>34</v>
      </c>
      <c r="S4" s="51" t="s">
        <v>173</v>
      </c>
      <c r="T4" s="51"/>
      <c r="U4" s="13" t="s">
        <v>174</v>
      </c>
      <c r="W4" s="17"/>
      <c r="X4" s="17"/>
    </row>
    <row r="5" spans="2:26" x14ac:dyDescent="0.2">
      <c r="B5" s="5" t="s">
        <v>0</v>
      </c>
      <c r="C5" s="5" t="s">
        <v>133</v>
      </c>
      <c r="D5" s="5" t="s">
        <v>130</v>
      </c>
      <c r="E5" s="5" t="s">
        <v>5</v>
      </c>
      <c r="F5" s="5" t="s">
        <v>6</v>
      </c>
      <c r="G5" s="5" t="s">
        <v>7</v>
      </c>
      <c r="H5" s="5" t="s">
        <v>131</v>
      </c>
      <c r="I5" s="5" t="s">
        <v>66</v>
      </c>
      <c r="J5" s="5" t="s">
        <v>67</v>
      </c>
      <c r="K5" s="5" t="s">
        <v>68</v>
      </c>
      <c r="L5" s="5"/>
      <c r="M5" s="9" t="s">
        <v>137</v>
      </c>
      <c r="N5" s="9" t="s">
        <v>10</v>
      </c>
      <c r="O5" s="9" t="s">
        <v>11</v>
      </c>
      <c r="P5" s="5"/>
      <c r="S5" s="17" t="s">
        <v>31</v>
      </c>
      <c r="T5" s="17" t="s">
        <v>32</v>
      </c>
      <c r="U5" s="17"/>
      <c r="V5" s="19"/>
      <c r="W5" s="18"/>
      <c r="X5" s="19"/>
    </row>
    <row r="6" spans="2:26" x14ac:dyDescent="0.2">
      <c r="B6" s="8">
        <v>0.01</v>
      </c>
      <c r="C6" s="8">
        <v>1E-3</v>
      </c>
      <c r="D6" s="8">
        <v>0.46404109999999998</v>
      </c>
      <c r="E6" s="8">
        <v>0.66666669999999995</v>
      </c>
      <c r="F6" s="8">
        <v>1.1428570000000001E-2</v>
      </c>
      <c r="G6" s="8">
        <v>0.25</v>
      </c>
      <c r="H6" s="8">
        <v>0.10294445000000001</v>
      </c>
      <c r="I6" s="8">
        <v>0.57735029999999998</v>
      </c>
      <c r="J6" s="8">
        <v>3.9555350000000003E-2</v>
      </c>
      <c r="K6" s="8">
        <v>0</v>
      </c>
      <c r="L6" s="5"/>
      <c r="M6" s="9" t="s">
        <v>8</v>
      </c>
      <c r="N6" s="10">
        <v>15</v>
      </c>
      <c r="O6" s="10">
        <v>1</v>
      </c>
      <c r="P6" s="5"/>
      <c r="Q6" s="22" t="s">
        <v>29</v>
      </c>
      <c r="S6">
        <v>100</v>
      </c>
      <c r="T6">
        <v>100</v>
      </c>
      <c r="U6" s="58">
        <v>0.1108428731</v>
      </c>
      <c r="V6" s="19"/>
      <c r="W6" s="18" t="s">
        <v>194</v>
      </c>
      <c r="X6" s="8"/>
    </row>
    <row r="7" spans="2:26" x14ac:dyDescent="0.2">
      <c r="B7" s="8">
        <v>0.1</v>
      </c>
      <c r="C7" s="8">
        <v>1E-3</v>
      </c>
      <c r="D7" s="8">
        <v>0.46647080000000002</v>
      </c>
      <c r="E7" s="8">
        <v>0.63419049999999999</v>
      </c>
      <c r="F7" s="8">
        <v>0.35357143000000002</v>
      </c>
      <c r="G7" s="8">
        <v>0.4664413</v>
      </c>
      <c r="H7" s="8">
        <v>9.7590670000000004E-2</v>
      </c>
      <c r="I7" s="8">
        <v>0.27777230000000003</v>
      </c>
      <c r="J7" s="8">
        <v>0.20077708</v>
      </c>
      <c r="K7" s="8">
        <v>0.16517357999999999</v>
      </c>
      <c r="L7" s="5"/>
      <c r="M7" s="9" t="s">
        <v>9</v>
      </c>
      <c r="N7" s="10">
        <v>21</v>
      </c>
      <c r="O7" s="10">
        <v>148</v>
      </c>
      <c r="P7" s="6"/>
      <c r="Q7" s="22" t="s">
        <v>78</v>
      </c>
      <c r="S7">
        <v>62.447786000000001</v>
      </c>
      <c r="T7">
        <v>62.447786000000001</v>
      </c>
      <c r="U7" s="58">
        <v>2.2371785000000002E-2</v>
      </c>
      <c r="V7" s="19"/>
      <c r="X7" s="8"/>
    </row>
    <row r="8" spans="2:26" x14ac:dyDescent="0.2">
      <c r="B8" s="8">
        <v>0.5</v>
      </c>
      <c r="C8" s="8">
        <v>1E-3</v>
      </c>
      <c r="D8" s="8">
        <v>0.46917880000000001</v>
      </c>
      <c r="E8" s="8">
        <v>0.62828569999999995</v>
      </c>
      <c r="F8" s="8">
        <v>0.34499999999999997</v>
      </c>
      <c r="G8" s="8">
        <v>0.4648448</v>
      </c>
      <c r="H8" s="8">
        <v>9.3375849999999996E-2</v>
      </c>
      <c r="I8" s="8">
        <v>0.26789180000000001</v>
      </c>
      <c r="J8" s="8">
        <v>0.18113634000000001</v>
      </c>
      <c r="K8" s="8">
        <v>0.14822958</v>
      </c>
      <c r="L8" s="5"/>
      <c r="M8" s="5"/>
      <c r="N8" s="5"/>
      <c r="O8" s="5"/>
      <c r="P8" s="5"/>
      <c r="Q8" s="22" t="s">
        <v>79</v>
      </c>
      <c r="S8">
        <v>70.634921000000006</v>
      </c>
      <c r="T8">
        <v>70.634921000000006</v>
      </c>
      <c r="U8" s="58">
        <v>1.5966877999999999E-3</v>
      </c>
      <c r="V8" s="19"/>
      <c r="W8" s="2"/>
      <c r="X8" s="8"/>
    </row>
    <row r="9" spans="2:26" x14ac:dyDescent="0.2">
      <c r="B9" s="8">
        <v>1</v>
      </c>
      <c r="C9" s="8">
        <v>1E-3</v>
      </c>
      <c r="D9" s="8">
        <v>0.46891129999999998</v>
      </c>
      <c r="E9" s="8">
        <v>0.67533330000000003</v>
      </c>
      <c r="F9" s="8">
        <v>0.32071429000000001</v>
      </c>
      <c r="G9" s="8">
        <v>0.45514120000000002</v>
      </c>
      <c r="H9" s="8">
        <v>9.3425889999999998E-2</v>
      </c>
      <c r="I9" s="8">
        <v>0.27751880000000001</v>
      </c>
      <c r="J9" s="8">
        <v>0.15859045999999999</v>
      </c>
      <c r="K9" s="8">
        <v>0.14000555000000001</v>
      </c>
      <c r="L9" s="5"/>
      <c r="M9" s="51" t="s">
        <v>70</v>
      </c>
      <c r="N9" s="51"/>
      <c r="O9" s="5" t="s">
        <v>37</v>
      </c>
      <c r="P9" s="5"/>
      <c r="Q9" s="22" t="s">
        <v>80</v>
      </c>
      <c r="S9">
        <v>69.507101000000006</v>
      </c>
      <c r="T9">
        <v>69.507101000000006</v>
      </c>
      <c r="U9" s="58">
        <v>1.8848894500000001E-2</v>
      </c>
      <c r="V9" s="19"/>
      <c r="W9" s="2"/>
      <c r="X9" s="8"/>
    </row>
    <row r="10" spans="2:26" x14ac:dyDescent="0.2">
      <c r="B10" s="8">
        <v>2</v>
      </c>
      <c r="C10" s="8">
        <v>1E-3</v>
      </c>
      <c r="D10" s="8">
        <v>0.46874359999999998</v>
      </c>
      <c r="E10" s="8">
        <v>0.63095239999999997</v>
      </c>
      <c r="F10" s="8">
        <v>0.32285713999999999</v>
      </c>
      <c r="G10" s="8">
        <v>0.45771299999999998</v>
      </c>
      <c r="H10" s="8">
        <v>9.3623319999999996E-2</v>
      </c>
      <c r="I10" s="8">
        <v>0.26887759999999999</v>
      </c>
      <c r="J10" s="8">
        <v>0.18869517</v>
      </c>
      <c r="K10" s="8">
        <v>0.15281007999999999</v>
      </c>
      <c r="L10" s="5"/>
      <c r="M10" s="5" t="s">
        <v>22</v>
      </c>
      <c r="N10" s="5">
        <v>0.41666999999999998</v>
      </c>
      <c r="O10" s="5"/>
      <c r="P10" s="5"/>
      <c r="Q10" s="22" t="s">
        <v>81</v>
      </c>
      <c r="S10">
        <v>66.583123999999998</v>
      </c>
      <c r="T10">
        <v>66.583123999999998</v>
      </c>
      <c r="U10" s="58">
        <v>5.3417851000000004E-3</v>
      </c>
      <c r="V10" s="19"/>
      <c r="W10" s="2"/>
      <c r="X10" s="8"/>
    </row>
    <row r="11" spans="2:26" x14ac:dyDescent="0.2">
      <c r="B11" s="8">
        <v>3</v>
      </c>
      <c r="C11" s="8">
        <v>1E-3</v>
      </c>
      <c r="D11" s="8">
        <v>0.4669468</v>
      </c>
      <c r="E11" s="8">
        <v>0.65380950000000004</v>
      </c>
      <c r="F11" s="8">
        <v>0.31785713999999998</v>
      </c>
      <c r="G11" s="8">
        <v>0.4228519</v>
      </c>
      <c r="H11" s="8">
        <v>9.2231090000000002E-2</v>
      </c>
      <c r="I11" s="8">
        <v>0.2319454</v>
      </c>
      <c r="J11" s="8">
        <v>0.16487665000000001</v>
      </c>
      <c r="K11" s="8">
        <v>0.15084180999999999</v>
      </c>
      <c r="L11" s="5"/>
      <c r="M11" s="5" t="s">
        <v>21</v>
      </c>
      <c r="N11" s="5">
        <v>0.99329000000000001</v>
      </c>
      <c r="O11" s="5"/>
      <c r="P11" s="5"/>
      <c r="Q11" s="22" t="s">
        <v>82</v>
      </c>
      <c r="S11">
        <v>41.436926</v>
      </c>
      <c r="T11">
        <v>41.436926</v>
      </c>
      <c r="U11" s="58">
        <v>3.2763638999999999E-3</v>
      </c>
      <c r="V11" s="19"/>
      <c r="W11" s="2"/>
      <c r="X11" s="8"/>
    </row>
    <row r="12" spans="2:26" x14ac:dyDescent="0.2">
      <c r="B12" s="8">
        <v>4</v>
      </c>
      <c r="C12" s="8">
        <v>1E-3</v>
      </c>
      <c r="D12" s="8">
        <v>0.46711849999999999</v>
      </c>
      <c r="E12" s="8">
        <v>0.60199999999999998</v>
      </c>
      <c r="F12" s="8">
        <v>0.31785713999999998</v>
      </c>
      <c r="G12" s="8">
        <v>0.43548290000000001</v>
      </c>
      <c r="H12" s="8">
        <v>9.2613790000000001E-2</v>
      </c>
      <c r="I12" s="8">
        <v>0.2560075</v>
      </c>
      <c r="J12" s="8">
        <v>0.16995584999999999</v>
      </c>
      <c r="K12" s="8">
        <v>0.14908166</v>
      </c>
      <c r="L12" s="5"/>
      <c r="M12" s="5" t="s">
        <v>20</v>
      </c>
      <c r="N12" s="5">
        <v>0.9375</v>
      </c>
      <c r="O12" s="5"/>
      <c r="P12" s="5"/>
      <c r="Q12" s="22" t="s">
        <v>83</v>
      </c>
      <c r="S12">
        <v>52.172097000000001</v>
      </c>
      <c r="T12">
        <v>52.172097000000001</v>
      </c>
      <c r="U12" s="58">
        <v>6.5380504999999998E-3</v>
      </c>
      <c r="V12" s="19"/>
      <c r="W12" s="2"/>
      <c r="X12" s="8"/>
    </row>
    <row r="13" spans="2:26" x14ac:dyDescent="0.2">
      <c r="B13" s="8">
        <v>5</v>
      </c>
      <c r="C13" s="8">
        <v>1E-3</v>
      </c>
      <c r="D13" s="8">
        <v>0.4668987</v>
      </c>
      <c r="E13" s="8">
        <v>0.63504760000000005</v>
      </c>
      <c r="F13" s="8">
        <v>0.36071428999999999</v>
      </c>
      <c r="G13" s="8">
        <v>0.45612190000000002</v>
      </c>
      <c r="H13" s="8">
        <v>9.2270530000000003E-2</v>
      </c>
      <c r="I13" s="8">
        <v>0.22207460000000001</v>
      </c>
      <c r="J13" s="8">
        <v>0.18363361</v>
      </c>
      <c r="K13" s="8">
        <v>0.15836864</v>
      </c>
      <c r="L13" s="5"/>
      <c r="M13" s="5" t="s">
        <v>19</v>
      </c>
      <c r="N13" s="5">
        <v>0.87573999999999996</v>
      </c>
      <c r="O13" s="5"/>
      <c r="P13" s="5"/>
      <c r="Q13" s="22" t="s">
        <v>84</v>
      </c>
      <c r="S13">
        <v>53.592314000000002</v>
      </c>
      <c r="T13">
        <v>53.592314000000002</v>
      </c>
      <c r="U13" s="58">
        <v>5.5248103299999997E-2</v>
      </c>
      <c r="V13" s="19"/>
      <c r="W13" s="2"/>
      <c r="X13" s="8"/>
    </row>
    <row r="14" spans="2:26" x14ac:dyDescent="0.2">
      <c r="B14" s="8">
        <v>6</v>
      </c>
      <c r="C14" s="8">
        <v>1E-3</v>
      </c>
      <c r="D14" s="8">
        <v>0.46966829999999998</v>
      </c>
      <c r="E14" s="8">
        <v>0.65647619999999995</v>
      </c>
      <c r="F14" s="8">
        <v>0.32357142999999999</v>
      </c>
      <c r="G14" s="8">
        <v>0.43415239999999999</v>
      </c>
      <c r="H14" s="8">
        <v>9.3802609999999995E-2</v>
      </c>
      <c r="I14" s="8">
        <v>0.24710679999999999</v>
      </c>
      <c r="J14" s="8">
        <v>0.16098852</v>
      </c>
      <c r="K14" s="8">
        <v>0.15759627000000001</v>
      </c>
      <c r="L14" s="5"/>
      <c r="M14" s="5" t="s">
        <v>18</v>
      </c>
      <c r="N14" s="5">
        <v>0.88109999999999999</v>
      </c>
      <c r="O14" s="5"/>
      <c r="P14" s="5"/>
      <c r="Q14" s="22" t="s">
        <v>85</v>
      </c>
      <c r="S14">
        <v>49.749372999999999</v>
      </c>
      <c r="T14">
        <v>49.749372999999999</v>
      </c>
      <c r="U14" s="58">
        <v>4.3003838099999997E-2</v>
      </c>
      <c r="V14" s="19"/>
      <c r="W14" s="2"/>
      <c r="X14" s="8"/>
    </row>
    <row r="15" spans="2:26" x14ac:dyDescent="0.2">
      <c r="B15" s="8">
        <v>7</v>
      </c>
      <c r="C15" s="8">
        <v>1E-3</v>
      </c>
      <c r="D15" s="8">
        <v>0.46858810000000001</v>
      </c>
      <c r="E15" s="8">
        <v>0.63935189999999997</v>
      </c>
      <c r="F15" s="8">
        <v>0.35214286</v>
      </c>
      <c r="G15" s="8">
        <v>0.4659278</v>
      </c>
      <c r="H15" s="8">
        <v>9.4969289999999998E-2</v>
      </c>
      <c r="I15" s="8">
        <v>0.2316532</v>
      </c>
      <c r="J15" s="8">
        <v>0.20993348000000001</v>
      </c>
      <c r="K15" s="8">
        <v>0.17429763000000001</v>
      </c>
      <c r="L15" s="5"/>
      <c r="M15" s="5" t="s">
        <v>17</v>
      </c>
      <c r="N15" s="5">
        <v>0.57689999999999997</v>
      </c>
      <c r="O15" s="5"/>
      <c r="P15" s="5"/>
      <c r="Q15" s="22" t="s">
        <v>86</v>
      </c>
      <c r="S15">
        <v>49.081035999999997</v>
      </c>
      <c r="T15">
        <v>49.081035999999997</v>
      </c>
      <c r="U15" s="58">
        <v>2.9511894E-3</v>
      </c>
      <c r="V15" s="19"/>
      <c r="W15" s="2"/>
      <c r="X15" s="8"/>
      <c r="Z15" s="2"/>
    </row>
    <row r="16" spans="2:26" x14ac:dyDescent="0.2">
      <c r="B16" s="8">
        <v>8</v>
      </c>
      <c r="C16" s="8">
        <v>1E-3</v>
      </c>
      <c r="D16" s="8">
        <v>0.4672559</v>
      </c>
      <c r="E16" s="8">
        <v>0.70381939999999998</v>
      </c>
      <c r="F16" s="8">
        <v>0.33785714</v>
      </c>
      <c r="G16" s="8">
        <v>0.45933580000000002</v>
      </c>
      <c r="H16" s="8">
        <v>9.4853209999999993E-2</v>
      </c>
      <c r="I16" s="8">
        <v>0.2588993</v>
      </c>
      <c r="J16" s="8">
        <v>0.20945193000000001</v>
      </c>
      <c r="K16" s="8">
        <v>0.17570653</v>
      </c>
      <c r="L16" s="5"/>
      <c r="M16" s="5" t="s">
        <v>28</v>
      </c>
      <c r="N16" s="5">
        <v>0.57740000000000002</v>
      </c>
      <c r="O16" s="5"/>
      <c r="P16" s="5"/>
      <c r="Q16" s="22" t="s">
        <v>87</v>
      </c>
      <c r="S16">
        <v>40.643275000000003</v>
      </c>
      <c r="T16">
        <v>40.643275000000003</v>
      </c>
      <c r="U16" s="58">
        <v>3.2641659999999999E-4</v>
      </c>
      <c r="V16" s="19"/>
      <c r="W16" s="2"/>
      <c r="X16" s="8"/>
      <c r="Z16" s="2"/>
    </row>
    <row r="17" spans="2:26" x14ac:dyDescent="0.2">
      <c r="B17" s="8">
        <v>9</v>
      </c>
      <c r="C17" s="8">
        <v>1E-3</v>
      </c>
      <c r="D17" s="8">
        <v>0.46537719999999999</v>
      </c>
      <c r="E17" s="8">
        <v>0.69717260000000003</v>
      </c>
      <c r="F17" s="8">
        <v>0.35642857</v>
      </c>
      <c r="G17" s="8">
        <v>0.47457349999999998</v>
      </c>
      <c r="H17" s="8">
        <v>9.8404580000000005E-2</v>
      </c>
      <c r="I17" s="8">
        <v>0.2405323</v>
      </c>
      <c r="J17" s="8">
        <v>0.22754605999999999</v>
      </c>
      <c r="K17" s="8">
        <v>0.18607751</v>
      </c>
      <c r="L17" s="5"/>
      <c r="M17" s="5" t="s">
        <v>33</v>
      </c>
      <c r="N17" s="5">
        <v>0.70498000000000005</v>
      </c>
      <c r="O17" s="5"/>
      <c r="P17" s="5"/>
      <c r="Q17" s="22" t="s">
        <v>88</v>
      </c>
      <c r="S17">
        <v>41.645780999999999</v>
      </c>
      <c r="T17">
        <v>41.645780999999999</v>
      </c>
      <c r="U17" s="58">
        <v>-1.9289155E-3</v>
      </c>
      <c r="V17" s="19"/>
      <c r="W17" s="2"/>
      <c r="X17" s="8"/>
      <c r="Z17" s="2"/>
    </row>
    <row r="18" spans="2:26" x14ac:dyDescent="0.2">
      <c r="B18" s="8">
        <v>10</v>
      </c>
      <c r="C18" s="8">
        <v>1E-3</v>
      </c>
      <c r="D18" s="8">
        <v>0.46694419999999998</v>
      </c>
      <c r="E18" s="8">
        <v>0.65580360000000004</v>
      </c>
      <c r="F18" s="8">
        <v>0.28857143000000002</v>
      </c>
      <c r="G18" s="8">
        <v>0.4264657</v>
      </c>
      <c r="H18" s="8">
        <v>9.8171240000000007E-2</v>
      </c>
      <c r="I18" s="8">
        <v>0.30215049999999999</v>
      </c>
      <c r="J18" s="8">
        <v>0.18120674000000001</v>
      </c>
      <c r="K18" s="8">
        <v>0.16480544</v>
      </c>
      <c r="L18" s="5"/>
      <c r="M18" s="5"/>
      <c r="N18" s="5"/>
      <c r="O18" s="5"/>
      <c r="P18" s="5"/>
      <c r="Q18" s="22" t="s">
        <v>122</v>
      </c>
      <c r="U18" s="58">
        <v>5.8824163000000002E-3</v>
      </c>
      <c r="W18" s="2"/>
      <c r="X18" s="8"/>
      <c r="Z18" s="2"/>
    </row>
    <row r="19" spans="2:26" x14ac:dyDescent="0.2">
      <c r="B19" s="8">
        <v>0.01</v>
      </c>
      <c r="C19" s="8">
        <v>0.01</v>
      </c>
      <c r="D19" s="8">
        <v>0.46295239999999999</v>
      </c>
      <c r="E19" s="8">
        <v>0.63914289999999996</v>
      </c>
      <c r="F19" s="8">
        <v>0.35214286</v>
      </c>
      <c r="G19" s="8">
        <v>0.4689489</v>
      </c>
      <c r="H19" s="8">
        <v>0.10732306</v>
      </c>
      <c r="I19" s="8">
        <v>0.27094869999999999</v>
      </c>
      <c r="J19" s="8">
        <v>0.2120744</v>
      </c>
      <c r="K19" s="8">
        <v>0.17753268</v>
      </c>
      <c r="L19" s="5"/>
      <c r="M19" s="49" t="s">
        <v>35</v>
      </c>
      <c r="N19" s="49"/>
      <c r="O19" s="49"/>
      <c r="P19" s="5"/>
      <c r="Q19" s="22" t="s">
        <v>89</v>
      </c>
      <c r="S19">
        <v>55.096074000000002</v>
      </c>
      <c r="T19">
        <v>55.096074000000002</v>
      </c>
      <c r="U19" s="62"/>
      <c r="V19" s="19"/>
      <c r="W19" s="2"/>
      <c r="X19" s="8"/>
      <c r="Z19" s="2"/>
    </row>
    <row r="20" spans="2:26" x14ac:dyDescent="0.2">
      <c r="B20" s="8">
        <v>0.1</v>
      </c>
      <c r="C20" s="8">
        <v>0.01</v>
      </c>
      <c r="D20" s="8">
        <v>0.4670203</v>
      </c>
      <c r="E20" s="8">
        <v>0.64180950000000003</v>
      </c>
      <c r="F20" s="8">
        <v>0.36857142999999998</v>
      </c>
      <c r="G20" s="8">
        <v>0.46678829999999999</v>
      </c>
      <c r="H20" s="8">
        <v>0.10725328000000001</v>
      </c>
      <c r="I20" s="8">
        <v>0.22596169999999999</v>
      </c>
      <c r="J20" s="8">
        <v>0.19924122999999999</v>
      </c>
      <c r="K20" s="8">
        <v>0.17389574999999999</v>
      </c>
      <c r="L20" s="5"/>
      <c r="M20" s="9" t="s">
        <v>137</v>
      </c>
      <c r="N20" s="9" t="s">
        <v>10</v>
      </c>
      <c r="O20" s="9" t="s">
        <v>11</v>
      </c>
      <c r="P20" s="5"/>
      <c r="Q20" s="22" t="s">
        <v>123</v>
      </c>
      <c r="U20" s="58">
        <v>3.4740155699999997E-2</v>
      </c>
      <c r="V20" s="19"/>
      <c r="W20" s="2"/>
      <c r="X20" s="8"/>
      <c r="Z20" s="2"/>
    </row>
    <row r="21" spans="2:26" x14ac:dyDescent="0.2">
      <c r="B21" s="8">
        <v>0.5</v>
      </c>
      <c r="C21" s="8">
        <v>0.01</v>
      </c>
      <c r="D21" s="8">
        <v>0.46528380000000003</v>
      </c>
      <c r="E21" s="8">
        <v>0.65196690000000002</v>
      </c>
      <c r="F21" s="8">
        <v>0.31785713999999998</v>
      </c>
      <c r="G21" s="8">
        <v>0.44587159999999998</v>
      </c>
      <c r="H21" s="8">
        <v>0.10904533</v>
      </c>
      <c r="I21" s="8">
        <v>0.24587990000000001</v>
      </c>
      <c r="J21" s="8">
        <v>0.21632217000000001</v>
      </c>
      <c r="K21" s="8">
        <v>0.17641793</v>
      </c>
      <c r="L21" s="5"/>
      <c r="M21" s="9" t="s">
        <v>8</v>
      </c>
      <c r="N21" s="10">
        <v>1</v>
      </c>
      <c r="O21" s="10">
        <v>0</v>
      </c>
      <c r="P21" s="5"/>
      <c r="Q21" s="22" t="s">
        <v>90</v>
      </c>
      <c r="S21">
        <v>44.402673</v>
      </c>
      <c r="T21">
        <v>44.402673</v>
      </c>
      <c r="U21" s="62"/>
      <c r="V21" s="19"/>
      <c r="W21" s="2"/>
      <c r="X21" s="8"/>
      <c r="Z21" s="2"/>
    </row>
    <row r="22" spans="2:26" x14ac:dyDescent="0.2">
      <c r="B22" s="8">
        <v>1</v>
      </c>
      <c r="C22" s="8">
        <v>0.01</v>
      </c>
      <c r="D22" s="8">
        <v>0.46603270000000002</v>
      </c>
      <c r="E22" s="8">
        <v>0.66041669999999997</v>
      </c>
      <c r="F22" s="8">
        <v>0.35714286000000001</v>
      </c>
      <c r="G22" s="8">
        <v>0.46772580000000002</v>
      </c>
      <c r="H22" s="8">
        <v>0.10877143</v>
      </c>
      <c r="I22" s="8">
        <v>0.24256140000000001</v>
      </c>
      <c r="J22" s="8">
        <v>0.22769316000000001</v>
      </c>
      <c r="K22" s="8">
        <v>0.18491373999999999</v>
      </c>
      <c r="L22" s="5"/>
      <c r="M22" s="9" t="s">
        <v>9</v>
      </c>
      <c r="N22" s="10">
        <v>8</v>
      </c>
      <c r="O22" s="10">
        <v>37</v>
      </c>
      <c r="P22" s="5"/>
      <c r="Q22" s="22" t="s">
        <v>91</v>
      </c>
      <c r="S22">
        <v>38.930660000000003</v>
      </c>
      <c r="T22">
        <v>38.930660000000003</v>
      </c>
      <c r="U22" s="62"/>
      <c r="V22" s="19"/>
      <c r="W22" s="2"/>
      <c r="X22" s="8"/>
      <c r="Z22" s="2"/>
    </row>
    <row r="23" spans="2:26" x14ac:dyDescent="0.2">
      <c r="B23" s="8">
        <v>2</v>
      </c>
      <c r="C23" s="8">
        <v>0.01</v>
      </c>
      <c r="D23" s="8">
        <v>0.47184619999999999</v>
      </c>
      <c r="E23" s="8">
        <v>0.70799999999999996</v>
      </c>
      <c r="F23" s="8">
        <v>0.35428570999999998</v>
      </c>
      <c r="G23" s="8">
        <v>0.4701555</v>
      </c>
      <c r="H23" s="8">
        <v>0.11109199</v>
      </c>
      <c r="I23" s="8">
        <v>0.26136749999999997</v>
      </c>
      <c r="J23" s="8">
        <v>0.19484481000000001</v>
      </c>
      <c r="K23" s="8">
        <v>0.17532416000000001</v>
      </c>
      <c r="L23" s="5"/>
      <c r="M23" s="5"/>
      <c r="N23" s="5"/>
      <c r="O23" s="5"/>
      <c r="P23" s="5"/>
      <c r="Q23" s="22" t="s">
        <v>92</v>
      </c>
      <c r="S23">
        <v>24.519632000000001</v>
      </c>
      <c r="T23">
        <v>24.519632000000001</v>
      </c>
      <c r="U23" s="62"/>
      <c r="V23" s="19"/>
      <c r="W23" s="2"/>
      <c r="X23" s="8"/>
      <c r="Y23" s="8"/>
      <c r="Z23" s="2"/>
    </row>
    <row r="24" spans="2:26" x14ac:dyDescent="0.2">
      <c r="B24" s="8">
        <v>3</v>
      </c>
      <c r="C24" s="8">
        <v>0.01</v>
      </c>
      <c r="D24" s="8">
        <v>0.46406269999999999</v>
      </c>
      <c r="E24" s="8">
        <v>0.72986110000000004</v>
      </c>
      <c r="F24" s="8">
        <v>0.27214285999999999</v>
      </c>
      <c r="G24" s="8">
        <v>0.41110770000000002</v>
      </c>
      <c r="H24" s="8">
        <v>0.10528820999999999</v>
      </c>
      <c r="I24" s="8">
        <v>0.2751363</v>
      </c>
      <c r="J24" s="8">
        <v>0.13175619</v>
      </c>
      <c r="K24" s="8">
        <v>0.12616706</v>
      </c>
      <c r="L24" s="5"/>
      <c r="M24" s="51" t="s">
        <v>69</v>
      </c>
      <c r="N24" s="51"/>
      <c r="O24" s="5"/>
      <c r="P24" s="5"/>
      <c r="Q24" s="22" t="s">
        <v>93</v>
      </c>
      <c r="S24">
        <v>38.053466999999998</v>
      </c>
      <c r="T24">
        <v>38.053466999999998</v>
      </c>
      <c r="U24" s="62"/>
      <c r="V24" s="19"/>
      <c r="W24" s="2"/>
      <c r="X24" s="8"/>
      <c r="Y24" s="8"/>
      <c r="Z24" s="2"/>
    </row>
    <row r="25" spans="2:26" x14ac:dyDescent="0.2">
      <c r="B25" s="8">
        <v>4</v>
      </c>
      <c r="C25" s="8">
        <v>0.01</v>
      </c>
      <c r="D25" s="8">
        <v>0.46133740000000001</v>
      </c>
      <c r="E25" s="8">
        <v>0.72826089999999999</v>
      </c>
      <c r="F25" s="8">
        <v>0.28714286</v>
      </c>
      <c r="G25" s="8">
        <v>0.43756899999999999</v>
      </c>
      <c r="H25" s="8">
        <v>0.1052507</v>
      </c>
      <c r="I25" s="8">
        <v>0.2660711</v>
      </c>
      <c r="J25" s="8">
        <v>0.16276143000000001</v>
      </c>
      <c r="K25" s="8">
        <v>0.13541404000000001</v>
      </c>
      <c r="L25" s="5"/>
      <c r="M25" s="5" t="s">
        <v>22</v>
      </c>
      <c r="N25" s="5">
        <v>0.1111</v>
      </c>
      <c r="O25" s="5"/>
      <c r="P25" s="5"/>
      <c r="Q25" s="22" t="s">
        <v>124</v>
      </c>
      <c r="U25" s="58">
        <v>4.1664132E-3</v>
      </c>
      <c r="V25" s="19"/>
      <c r="W25" s="2"/>
      <c r="X25" s="8"/>
      <c r="Z25" s="2"/>
    </row>
    <row r="26" spans="2:26" x14ac:dyDescent="0.2">
      <c r="B26" s="8">
        <v>5</v>
      </c>
      <c r="C26" s="8">
        <v>0.01</v>
      </c>
      <c r="D26" s="8">
        <v>0.46004220000000001</v>
      </c>
      <c r="E26" s="8">
        <v>0.70797100000000002</v>
      </c>
      <c r="F26" s="8">
        <v>0.28000000000000003</v>
      </c>
      <c r="G26" s="8">
        <v>0.45294519999999999</v>
      </c>
      <c r="H26" s="8">
        <v>9.8256270000000007E-2</v>
      </c>
      <c r="I26" s="8">
        <v>0.32403199999999999</v>
      </c>
      <c r="J26" s="8">
        <v>0.16184456999999999</v>
      </c>
      <c r="K26" s="8">
        <v>0.13761643000000001</v>
      </c>
      <c r="L26" s="5"/>
      <c r="M26" s="5" t="s">
        <v>21</v>
      </c>
      <c r="N26" s="5">
        <v>1</v>
      </c>
      <c r="O26" s="5"/>
      <c r="P26" s="5"/>
      <c r="Q26" s="22" t="s">
        <v>94</v>
      </c>
      <c r="S26">
        <v>2.2974100000000002</v>
      </c>
      <c r="T26">
        <v>2.2974100000000002</v>
      </c>
      <c r="U26" s="62"/>
      <c r="V26" s="19"/>
      <c r="W26" s="2"/>
      <c r="X26" s="8"/>
      <c r="Z26" s="2"/>
    </row>
    <row r="27" spans="2:26" x14ac:dyDescent="0.2">
      <c r="B27" s="8">
        <v>6</v>
      </c>
      <c r="C27" s="8">
        <v>0.01</v>
      </c>
      <c r="D27" s="8">
        <v>0.45485449999999999</v>
      </c>
      <c r="E27" s="8">
        <v>0.74428570000000005</v>
      </c>
      <c r="F27" s="8">
        <v>0.23642857</v>
      </c>
      <c r="G27" s="8">
        <v>0.3954337</v>
      </c>
      <c r="H27" s="8">
        <v>0.10008375999999999</v>
      </c>
      <c r="I27" s="8">
        <v>0.25295529999999999</v>
      </c>
      <c r="J27" s="8">
        <v>0.15940939000000001</v>
      </c>
      <c r="K27" s="8">
        <v>0.12463237000000001</v>
      </c>
      <c r="L27" s="5"/>
      <c r="M27" s="5" t="s">
        <v>20</v>
      </c>
      <c r="N27" s="5">
        <v>1</v>
      </c>
      <c r="O27" s="5"/>
      <c r="P27" s="5"/>
      <c r="Q27" s="22" t="s">
        <v>95</v>
      </c>
      <c r="S27">
        <v>20.676691999999999</v>
      </c>
      <c r="T27">
        <v>20.676691999999999</v>
      </c>
      <c r="U27" s="62"/>
      <c r="V27" s="19"/>
      <c r="W27" s="2"/>
      <c r="X27" s="8"/>
      <c r="Z27" s="2"/>
    </row>
    <row r="28" spans="2:26" x14ac:dyDescent="0.2">
      <c r="B28" s="8">
        <v>7</v>
      </c>
      <c r="C28" s="8">
        <v>0.01</v>
      </c>
      <c r="D28" s="8">
        <v>0.44841690000000001</v>
      </c>
      <c r="E28" s="8">
        <v>0.66491230000000001</v>
      </c>
      <c r="F28" s="8">
        <v>0.19428571</v>
      </c>
      <c r="G28" s="8">
        <v>0.39895560000000002</v>
      </c>
      <c r="H28" s="8">
        <v>9.7044720000000001E-2</v>
      </c>
      <c r="I28" s="8">
        <v>0.34470840000000003</v>
      </c>
      <c r="J28" s="8">
        <v>0.15866082000000001</v>
      </c>
      <c r="K28" s="8">
        <v>0.12452535000000001</v>
      </c>
      <c r="L28" s="5"/>
      <c r="M28" s="5" t="s">
        <v>19</v>
      </c>
      <c r="N28" s="5">
        <v>0.82220000000000004</v>
      </c>
      <c r="O28" s="5"/>
      <c r="P28" s="5"/>
      <c r="Q28" s="22" t="s">
        <v>96</v>
      </c>
      <c r="S28">
        <v>34.544694999999997</v>
      </c>
      <c r="T28">
        <v>34.544694999999997</v>
      </c>
      <c r="U28" s="62"/>
      <c r="V28" s="19"/>
      <c r="W28" s="19"/>
      <c r="X28" s="19"/>
      <c r="Z28" s="2"/>
    </row>
    <row r="29" spans="2:26" x14ac:dyDescent="0.2">
      <c r="B29" s="8">
        <v>8</v>
      </c>
      <c r="C29" s="8">
        <v>0.01</v>
      </c>
      <c r="D29" s="8">
        <v>0.43976209999999999</v>
      </c>
      <c r="E29" s="8">
        <v>0.68730159999999996</v>
      </c>
      <c r="F29" s="8">
        <v>0.19071429000000001</v>
      </c>
      <c r="G29" s="8">
        <v>0.36318040000000001</v>
      </c>
      <c r="H29" s="8">
        <v>9.9194030000000002E-2</v>
      </c>
      <c r="I29" s="8">
        <v>0.32667960000000001</v>
      </c>
      <c r="J29" s="8">
        <v>0.13469227</v>
      </c>
      <c r="K29" s="8">
        <v>0.10361388000000001</v>
      </c>
      <c r="L29" s="9"/>
      <c r="M29" s="5" t="s">
        <v>18</v>
      </c>
      <c r="N29" s="5">
        <v>0.82609999999999995</v>
      </c>
      <c r="O29" s="5"/>
      <c r="P29" s="5"/>
      <c r="Q29" s="22" t="s">
        <v>97</v>
      </c>
      <c r="S29">
        <v>3.2581449999999998</v>
      </c>
      <c r="T29">
        <v>3.2581449999999998</v>
      </c>
      <c r="U29" s="62"/>
      <c r="V29" s="19"/>
      <c r="W29" s="19"/>
      <c r="X29" s="19"/>
      <c r="Z29" s="2"/>
    </row>
    <row r="30" spans="2:26" x14ac:dyDescent="0.2">
      <c r="B30" s="8">
        <v>9</v>
      </c>
      <c r="C30" s="8">
        <v>0.01</v>
      </c>
      <c r="D30" s="8">
        <v>0.43232350000000003</v>
      </c>
      <c r="E30" s="8">
        <v>0.77280700000000002</v>
      </c>
      <c r="F30" s="8">
        <v>0.20642857000000001</v>
      </c>
      <c r="G30" s="8">
        <v>0.40851460000000001</v>
      </c>
      <c r="H30" s="8">
        <v>0.10574868</v>
      </c>
      <c r="I30" s="8">
        <v>0.28519060000000002</v>
      </c>
      <c r="J30" s="8">
        <v>0.16187412000000001</v>
      </c>
      <c r="K30" s="8">
        <v>0.11578086999999999</v>
      </c>
      <c r="L30" s="10"/>
      <c r="M30" s="5" t="s">
        <v>17</v>
      </c>
      <c r="N30" s="5">
        <v>0.2</v>
      </c>
      <c r="P30" s="5"/>
      <c r="Q30" s="22" t="s">
        <v>98</v>
      </c>
      <c r="S30">
        <v>0</v>
      </c>
      <c r="T30">
        <v>0</v>
      </c>
      <c r="U30" s="62"/>
      <c r="V30" s="19"/>
      <c r="W30" s="19"/>
      <c r="X30" s="19"/>
      <c r="Z30" s="2"/>
    </row>
    <row r="31" spans="2:26" x14ac:dyDescent="0.2">
      <c r="B31" s="8">
        <v>10</v>
      </c>
      <c r="C31" s="8">
        <v>0.01</v>
      </c>
      <c r="D31" s="8">
        <v>0.42321189999999997</v>
      </c>
      <c r="E31" s="8">
        <v>0.71250000000000002</v>
      </c>
      <c r="F31" s="8">
        <v>0.17785714</v>
      </c>
      <c r="G31" s="8">
        <v>0.36568460000000003</v>
      </c>
      <c r="H31" s="8">
        <v>0.10815103</v>
      </c>
      <c r="I31" s="8">
        <v>0.36018489999999997</v>
      </c>
      <c r="J31" s="8">
        <v>0.13447112</v>
      </c>
      <c r="K31" s="8">
        <v>0.11971414</v>
      </c>
      <c r="L31" s="10"/>
      <c r="M31" s="5" t="s">
        <v>28</v>
      </c>
      <c r="N31" s="5">
        <v>0.30225000000000002</v>
      </c>
      <c r="O31" s="5"/>
      <c r="P31" s="5"/>
      <c r="Q31" s="22" t="s">
        <v>129</v>
      </c>
      <c r="U31" s="58">
        <v>4.4074612800000003E-2</v>
      </c>
      <c r="V31" s="19"/>
      <c r="W31" s="19"/>
      <c r="X31" s="19"/>
      <c r="Z31" s="2"/>
    </row>
    <row r="32" spans="2:26" x14ac:dyDescent="0.2">
      <c r="B32" s="8">
        <v>0.01</v>
      </c>
      <c r="C32" s="8">
        <v>0.1</v>
      </c>
      <c r="D32" s="8">
        <v>0.37579630000000003</v>
      </c>
      <c r="E32" s="8">
        <v>0.69047619999999998</v>
      </c>
      <c r="F32" s="8">
        <v>0.11142857</v>
      </c>
      <c r="G32" s="8">
        <v>0.32140639999999998</v>
      </c>
      <c r="H32" s="8">
        <v>8.1386399999999998E-2</v>
      </c>
      <c r="I32" s="8">
        <v>0.31253819999999999</v>
      </c>
      <c r="J32" s="8">
        <v>0.12524210999999999</v>
      </c>
      <c r="K32" s="8">
        <v>0.11171639</v>
      </c>
      <c r="L32" s="10"/>
      <c r="M32" s="5" t="s">
        <v>33</v>
      </c>
      <c r="N32" s="5">
        <v>0.55559999999999998</v>
      </c>
      <c r="O32" s="5"/>
      <c r="P32" s="5"/>
      <c r="Q32" s="22" t="s">
        <v>99</v>
      </c>
      <c r="S32">
        <v>60.192146999999999</v>
      </c>
      <c r="T32">
        <v>60.192146999999999</v>
      </c>
      <c r="U32" s="62"/>
      <c r="V32" s="19"/>
      <c r="W32" s="19"/>
      <c r="X32" s="19"/>
      <c r="Z32" s="2"/>
    </row>
    <row r="33" spans="2:26" x14ac:dyDescent="0.2">
      <c r="B33" s="8">
        <v>0.1</v>
      </c>
      <c r="C33" s="8">
        <v>0.1</v>
      </c>
      <c r="D33" s="8">
        <v>0.37571789999999999</v>
      </c>
      <c r="E33" s="8">
        <v>0.57239229999999997</v>
      </c>
      <c r="F33" s="8">
        <v>0.19642857</v>
      </c>
      <c r="G33" s="8">
        <v>0.36199700000000001</v>
      </c>
      <c r="H33" s="8">
        <v>8.3256709999999998E-2</v>
      </c>
      <c r="I33" s="8">
        <v>0.32436739999999997</v>
      </c>
      <c r="J33" s="8">
        <v>0.15064346000000001</v>
      </c>
      <c r="K33" s="8">
        <v>9.7821930000000001E-2</v>
      </c>
      <c r="L33" s="5"/>
      <c r="M33" s="5"/>
      <c r="N33" s="5"/>
      <c r="O33" s="5"/>
      <c r="P33" s="5"/>
      <c r="Q33" s="22" t="s">
        <v>128</v>
      </c>
      <c r="U33" s="58">
        <v>-1.4520784E-3</v>
      </c>
      <c r="V33" s="19"/>
      <c r="W33" s="19"/>
      <c r="X33" s="19"/>
      <c r="Z33" s="2"/>
    </row>
    <row r="34" spans="2:26" x14ac:dyDescent="0.2">
      <c r="B34" s="8">
        <v>0.5</v>
      </c>
      <c r="C34" s="8">
        <v>0.1</v>
      </c>
      <c r="D34" s="8">
        <v>0.37585839999999998</v>
      </c>
      <c r="E34" s="8">
        <v>0.54090910000000003</v>
      </c>
      <c r="F34" s="8">
        <v>0.14571429</v>
      </c>
      <c r="G34" s="8">
        <v>0.30814710000000001</v>
      </c>
      <c r="H34" s="8">
        <v>8.3258789999999999E-2</v>
      </c>
      <c r="I34" s="8">
        <v>0.37977040000000001</v>
      </c>
      <c r="J34" s="8">
        <v>0.12249618</v>
      </c>
      <c r="K34" s="8">
        <v>9.485217E-2</v>
      </c>
      <c r="L34" s="5"/>
      <c r="M34" s="49" t="s">
        <v>72</v>
      </c>
      <c r="N34" s="49"/>
      <c r="O34" s="5"/>
      <c r="P34" s="5"/>
      <c r="Q34" s="22" t="s">
        <v>100</v>
      </c>
      <c r="S34">
        <v>54.845447</v>
      </c>
      <c r="T34">
        <v>54.845447</v>
      </c>
      <c r="U34" s="62"/>
      <c r="V34" s="19"/>
      <c r="W34" s="19"/>
      <c r="X34" s="19"/>
      <c r="Z34" s="2"/>
    </row>
    <row r="35" spans="2:26" x14ac:dyDescent="0.2">
      <c r="B35" s="8">
        <v>1</v>
      </c>
      <c r="C35" s="8">
        <v>0.1</v>
      </c>
      <c r="D35" s="8">
        <v>0.37656909999999999</v>
      </c>
      <c r="E35" s="8">
        <v>0.54523809999999995</v>
      </c>
      <c r="F35" s="8">
        <v>0.17714286000000001</v>
      </c>
      <c r="G35" s="8">
        <v>0.32591710000000002</v>
      </c>
      <c r="H35" s="8">
        <v>8.2761699999999994E-2</v>
      </c>
      <c r="I35" s="8">
        <v>0.28815229999999997</v>
      </c>
      <c r="J35" s="8">
        <v>0.12509775000000001</v>
      </c>
      <c r="K35" s="8">
        <v>0.10812932</v>
      </c>
      <c r="L35" s="5"/>
      <c r="M35" s="5" t="s">
        <v>38</v>
      </c>
      <c r="N35" s="5" t="s">
        <v>4</v>
      </c>
      <c r="O35" s="5"/>
      <c r="P35" s="5"/>
      <c r="Q35" s="22" t="s">
        <v>127</v>
      </c>
      <c r="U35" s="58">
        <v>-3.9515684999999997E-3</v>
      </c>
      <c r="V35" s="19"/>
      <c r="W35" s="19"/>
      <c r="X35" s="19"/>
      <c r="Z35" s="2"/>
    </row>
    <row r="36" spans="2:26" x14ac:dyDescent="0.2">
      <c r="B36" s="8">
        <v>2</v>
      </c>
      <c r="C36" s="8">
        <v>0.1</v>
      </c>
      <c r="D36" s="8">
        <v>0.35866480000000001</v>
      </c>
      <c r="E36" s="8">
        <v>0.51416669999999998</v>
      </c>
      <c r="F36" s="8">
        <v>0.13</v>
      </c>
      <c r="G36" s="8">
        <v>0.28929919999999998</v>
      </c>
      <c r="H36" s="8">
        <v>7.800646E-2</v>
      </c>
      <c r="I36" s="8">
        <v>0.3549679</v>
      </c>
      <c r="J36" s="8">
        <v>0.11601647</v>
      </c>
      <c r="K36" s="8">
        <v>8.2494239999999996E-2</v>
      </c>
      <c r="L36" s="5"/>
      <c r="M36" s="16" t="s">
        <v>73</v>
      </c>
      <c r="N36" s="16">
        <v>0.4040492</v>
      </c>
      <c r="O36" s="5"/>
      <c r="P36" s="5"/>
      <c r="Q36" s="22" t="s">
        <v>101</v>
      </c>
      <c r="S36">
        <v>33.375104</v>
      </c>
      <c r="T36">
        <v>33.375104</v>
      </c>
      <c r="U36" s="62"/>
      <c r="Z36" s="2"/>
    </row>
    <row r="37" spans="2:26" x14ac:dyDescent="0.2">
      <c r="B37" s="8">
        <v>3</v>
      </c>
      <c r="C37" s="8">
        <v>0.1</v>
      </c>
      <c r="D37" s="8">
        <v>0.35802709999999999</v>
      </c>
      <c r="E37" s="8">
        <v>0.49473679999999998</v>
      </c>
      <c r="F37" s="8">
        <v>0.14571429</v>
      </c>
      <c r="G37" s="8">
        <v>0.32673140000000001</v>
      </c>
      <c r="H37" s="8">
        <v>7.9229850000000004E-2</v>
      </c>
      <c r="I37" s="8">
        <v>0.33870909999999999</v>
      </c>
      <c r="J37" s="8">
        <v>0.14767543999999999</v>
      </c>
      <c r="K37" s="8">
        <v>0.11231306000000001</v>
      </c>
      <c r="M37" s="16" t="s">
        <v>74</v>
      </c>
      <c r="N37" s="16">
        <v>0.3610237</v>
      </c>
      <c r="O37" s="5"/>
      <c r="P37" s="5"/>
      <c r="Q37" s="22" t="s">
        <v>102</v>
      </c>
      <c r="S37">
        <v>15.288221</v>
      </c>
      <c r="T37">
        <v>15.288221</v>
      </c>
      <c r="U37" s="62"/>
      <c r="Z37" s="2"/>
    </row>
    <row r="38" spans="2:26" x14ac:dyDescent="0.2">
      <c r="B38" s="8">
        <v>4</v>
      </c>
      <c r="C38" s="8">
        <v>0.1</v>
      </c>
      <c r="D38" s="8">
        <v>0.35802709999999999</v>
      </c>
      <c r="E38" s="8">
        <v>0.48499999999999999</v>
      </c>
      <c r="F38" s="8">
        <v>0.15714286</v>
      </c>
      <c r="G38" s="8">
        <v>0.31410709999999997</v>
      </c>
      <c r="H38" s="8">
        <v>7.9229850000000004E-2</v>
      </c>
      <c r="I38" s="8">
        <v>0.28846739999999998</v>
      </c>
      <c r="J38" s="8">
        <v>0.13491698999999999</v>
      </c>
      <c r="K38" s="8">
        <v>0.10547601</v>
      </c>
      <c r="M38" s="16" t="s">
        <v>75</v>
      </c>
      <c r="N38" s="16">
        <v>0.41629440000000001</v>
      </c>
      <c r="O38" s="5"/>
      <c r="P38" s="5"/>
      <c r="Q38" s="22" t="s">
        <v>103</v>
      </c>
      <c r="S38">
        <v>47.159565999999998</v>
      </c>
      <c r="T38">
        <v>47.159565999999998</v>
      </c>
      <c r="U38" s="62"/>
      <c r="Z38" s="2"/>
    </row>
    <row r="39" spans="2:26" x14ac:dyDescent="0.2">
      <c r="B39" s="8">
        <v>5</v>
      </c>
      <c r="C39" s="8">
        <v>0.1</v>
      </c>
      <c r="D39" s="8">
        <v>0.35802709999999999</v>
      </c>
      <c r="E39" s="8">
        <v>0.53289470000000005</v>
      </c>
      <c r="F39" s="8">
        <v>0.15142857000000001</v>
      </c>
      <c r="G39" s="8">
        <v>0.32373740000000001</v>
      </c>
      <c r="H39" s="8">
        <v>7.9229850000000004E-2</v>
      </c>
      <c r="I39" s="8">
        <v>0.32344679999999998</v>
      </c>
      <c r="J39" s="8">
        <v>0.15030086000000001</v>
      </c>
      <c r="K39" s="8">
        <v>0.12876404</v>
      </c>
      <c r="M39" s="16" t="s">
        <v>76</v>
      </c>
      <c r="N39" s="16">
        <v>0.40488930000000001</v>
      </c>
      <c r="O39" s="5"/>
      <c r="P39" s="5"/>
      <c r="Q39" s="22" t="s">
        <v>126</v>
      </c>
      <c r="U39" s="58">
        <v>5.1546787300000001E-2</v>
      </c>
      <c r="Z39" s="2"/>
    </row>
    <row r="40" spans="2:26" x14ac:dyDescent="0.2">
      <c r="B40" s="8">
        <v>6</v>
      </c>
      <c r="C40" s="8">
        <v>0.1</v>
      </c>
      <c r="D40" s="8">
        <v>0.35802709999999999</v>
      </c>
      <c r="E40" s="8">
        <v>0.5</v>
      </c>
      <c r="F40" s="8">
        <v>0.14571429</v>
      </c>
      <c r="G40" s="8">
        <v>0.3032977</v>
      </c>
      <c r="H40" s="8">
        <v>7.9229850000000004E-2</v>
      </c>
      <c r="I40" s="8">
        <v>0.28796519999999998</v>
      </c>
      <c r="J40" s="8">
        <v>0.12925167000000001</v>
      </c>
      <c r="K40" s="8">
        <v>0.11318768</v>
      </c>
      <c r="M40" s="16" t="s">
        <v>77</v>
      </c>
      <c r="N40" s="16">
        <v>0.4288902</v>
      </c>
      <c r="O40" s="5"/>
      <c r="P40" s="5"/>
      <c r="Q40" s="22" t="s">
        <v>104</v>
      </c>
      <c r="S40">
        <v>47.577277000000002</v>
      </c>
      <c r="T40">
        <v>47.577277000000002</v>
      </c>
      <c r="U40" s="62"/>
    </row>
    <row r="41" spans="2:26" x14ac:dyDescent="0.2">
      <c r="B41" s="8">
        <v>7</v>
      </c>
      <c r="C41" s="8">
        <v>0.1</v>
      </c>
      <c r="D41" s="8">
        <v>0.35802709999999999</v>
      </c>
      <c r="E41" s="8">
        <v>0.44788359999999999</v>
      </c>
      <c r="F41" s="8">
        <v>0.12857142999999999</v>
      </c>
      <c r="G41" s="8">
        <v>0.29362189999999999</v>
      </c>
      <c r="H41" s="8">
        <v>7.9229850000000004E-2</v>
      </c>
      <c r="I41" s="8">
        <v>0.27159549999999999</v>
      </c>
      <c r="J41" s="8">
        <v>0.13172795000000001</v>
      </c>
      <c r="K41" s="8">
        <v>0.10877567</v>
      </c>
      <c r="O41" s="5"/>
      <c r="P41" s="5"/>
      <c r="Q41" s="22" t="s">
        <v>125</v>
      </c>
      <c r="U41" s="58">
        <v>1.20805193E-2</v>
      </c>
    </row>
    <row r="42" spans="2:26" x14ac:dyDescent="0.2">
      <c r="B42" s="8">
        <v>8</v>
      </c>
      <c r="C42" s="8">
        <v>0.1</v>
      </c>
      <c r="D42" s="8">
        <v>0.35802709999999999</v>
      </c>
      <c r="E42" s="8">
        <v>0.54621850000000005</v>
      </c>
      <c r="F42" s="8">
        <v>0.13428571</v>
      </c>
      <c r="G42" s="8">
        <v>0.29740260000000002</v>
      </c>
      <c r="H42" s="8">
        <v>7.9229850000000004E-2</v>
      </c>
      <c r="I42" s="8">
        <v>0.26465959999999999</v>
      </c>
      <c r="J42" s="8">
        <v>0.1222182</v>
      </c>
      <c r="K42" s="8">
        <v>0.10697449000000001</v>
      </c>
      <c r="M42" s="12" t="s">
        <v>13</v>
      </c>
      <c r="O42" s="12" t="s">
        <v>12</v>
      </c>
      <c r="P42" s="5"/>
      <c r="Q42" s="22" t="s">
        <v>105</v>
      </c>
      <c r="S42">
        <v>42.230575999999999</v>
      </c>
      <c r="T42">
        <v>42.230575999999999</v>
      </c>
      <c r="U42" s="62"/>
    </row>
    <row r="43" spans="2:26" x14ac:dyDescent="0.2">
      <c r="B43" s="8">
        <v>9</v>
      </c>
      <c r="C43" s="8">
        <v>0.1</v>
      </c>
      <c r="D43" s="8">
        <v>0.35802709999999999</v>
      </c>
      <c r="E43" s="8">
        <v>0.47303919999999999</v>
      </c>
      <c r="F43" s="8">
        <v>0.11714286</v>
      </c>
      <c r="G43" s="8">
        <v>0.29130590000000001</v>
      </c>
      <c r="H43" s="8">
        <v>7.9229850000000004E-2</v>
      </c>
      <c r="I43" s="8">
        <v>0.31213210000000002</v>
      </c>
      <c r="J43" s="8">
        <v>0.12990789999999999</v>
      </c>
      <c r="K43" s="8">
        <v>0.11125162</v>
      </c>
      <c r="M43" s="4" t="s">
        <v>158</v>
      </c>
      <c r="O43" s="4" t="s">
        <v>132</v>
      </c>
      <c r="P43" s="5"/>
      <c r="Q43" s="22" t="s">
        <v>106</v>
      </c>
      <c r="S43">
        <v>6.2238930000000003</v>
      </c>
      <c r="T43">
        <v>6.2238930000000003</v>
      </c>
    </row>
    <row r="44" spans="2:26" x14ac:dyDescent="0.2">
      <c r="B44" s="8">
        <v>10</v>
      </c>
      <c r="C44" s="8">
        <v>0.1</v>
      </c>
      <c r="D44" s="8">
        <v>0.35802709999999999</v>
      </c>
      <c r="E44" s="8">
        <v>0.46583330000000001</v>
      </c>
      <c r="F44" s="8">
        <v>0.15142857000000001</v>
      </c>
      <c r="G44" s="8">
        <v>0.31984990000000002</v>
      </c>
      <c r="H44" s="8">
        <v>7.9229850000000004E-2</v>
      </c>
      <c r="I44" s="8">
        <v>0.31476690000000002</v>
      </c>
      <c r="J44" s="8">
        <v>0.13852432000000001</v>
      </c>
      <c r="K44" s="8">
        <v>0.10891018</v>
      </c>
      <c r="M44" s="5" t="s">
        <v>15</v>
      </c>
      <c r="N44" s="5"/>
      <c r="P44" s="5"/>
      <c r="Q44" s="22" t="s">
        <v>107</v>
      </c>
      <c r="S44">
        <v>27.025898000000002</v>
      </c>
      <c r="T44">
        <v>27.025898000000002</v>
      </c>
    </row>
    <row r="45" spans="2:26" x14ac:dyDescent="0.2">
      <c r="B45" s="8">
        <v>0.01</v>
      </c>
      <c r="C45" s="8">
        <v>1</v>
      </c>
      <c r="D45" s="8">
        <v>0.1411538</v>
      </c>
      <c r="E45" s="8" t="s">
        <v>113</v>
      </c>
      <c r="F45" s="8">
        <v>0</v>
      </c>
      <c r="G45" s="8" t="s">
        <v>113</v>
      </c>
      <c r="H45" s="8">
        <v>2.015026E-2</v>
      </c>
      <c r="I45" s="30" t="s">
        <v>134</v>
      </c>
      <c r="J45" s="8">
        <v>0</v>
      </c>
      <c r="K45" s="30" t="s">
        <v>134</v>
      </c>
      <c r="L45" s="3"/>
      <c r="N45" s="5"/>
      <c r="O45" s="5"/>
      <c r="P45" s="5"/>
    </row>
    <row r="46" spans="2:26" x14ac:dyDescent="0.2">
      <c r="B46" s="8">
        <v>0.1</v>
      </c>
      <c r="C46" s="8">
        <v>1</v>
      </c>
      <c r="D46" s="8">
        <v>0.14070769999999999</v>
      </c>
      <c r="E46" s="8" t="s">
        <v>113</v>
      </c>
      <c r="F46" s="8">
        <v>0</v>
      </c>
      <c r="G46" s="8" t="s">
        <v>113</v>
      </c>
      <c r="H46" s="8">
        <v>2.0120389999999998E-2</v>
      </c>
      <c r="I46" s="30" t="s">
        <v>134</v>
      </c>
      <c r="J46" s="8">
        <v>0</v>
      </c>
      <c r="K46" s="30" t="s">
        <v>134</v>
      </c>
      <c r="L46" s="3"/>
      <c r="M46" s="49" t="s">
        <v>108</v>
      </c>
      <c r="N46" s="49"/>
      <c r="O46" s="49"/>
      <c r="P46" s="49"/>
      <c r="Q46" s="49"/>
    </row>
    <row r="47" spans="2:26" ht="16" customHeight="1" x14ac:dyDescent="0.2">
      <c r="B47" s="8">
        <v>0.5</v>
      </c>
      <c r="C47" s="8">
        <v>1</v>
      </c>
      <c r="D47" s="8">
        <v>0.14076910000000001</v>
      </c>
      <c r="E47" s="8" t="s">
        <v>113</v>
      </c>
      <c r="F47" s="8">
        <v>0</v>
      </c>
      <c r="G47" s="8" t="s">
        <v>113</v>
      </c>
      <c r="H47" s="8">
        <v>1.997875E-2</v>
      </c>
      <c r="I47" s="30" t="s">
        <v>134</v>
      </c>
      <c r="J47" s="8">
        <v>0</v>
      </c>
      <c r="K47" s="30" t="s">
        <v>134</v>
      </c>
      <c r="L47" s="3"/>
      <c r="M47" s="5" t="s">
        <v>112</v>
      </c>
      <c r="N47" s="5" t="s">
        <v>5</v>
      </c>
      <c r="O47" s="5" t="s">
        <v>6</v>
      </c>
      <c r="P47" s="5" t="s">
        <v>7</v>
      </c>
      <c r="Q47" s="5" t="s">
        <v>38</v>
      </c>
      <c r="S47" s="12" t="s">
        <v>161</v>
      </c>
      <c r="U47" s="54" t="s">
        <v>148</v>
      </c>
    </row>
    <row r="48" spans="2:26" x14ac:dyDescent="0.2">
      <c r="B48" s="8">
        <v>1</v>
      </c>
      <c r="C48" s="8">
        <v>1</v>
      </c>
      <c r="D48" s="8">
        <v>0.1407553</v>
      </c>
      <c r="E48" s="8" t="s">
        <v>113</v>
      </c>
      <c r="F48" s="8">
        <v>0</v>
      </c>
      <c r="G48" s="8" t="s">
        <v>113</v>
      </c>
      <c r="H48" s="8">
        <v>1.9983620000000001E-2</v>
      </c>
      <c r="I48" s="30" t="s">
        <v>134</v>
      </c>
      <c r="J48" s="8">
        <v>0</v>
      </c>
      <c r="K48" s="30" t="s">
        <v>134</v>
      </c>
      <c r="L48" s="3"/>
      <c r="M48" s="32">
        <v>0.41537279999999999</v>
      </c>
      <c r="N48" s="32">
        <v>0.5</v>
      </c>
      <c r="O48" s="32">
        <v>0.28571429999999998</v>
      </c>
      <c r="P48" s="32">
        <v>0.36363640000000003</v>
      </c>
      <c r="Q48" s="32" t="s">
        <v>61</v>
      </c>
      <c r="S48" s="34">
        <v>0.124324</v>
      </c>
      <c r="U48" s="54"/>
    </row>
    <row r="49" spans="2:21" x14ac:dyDescent="0.2">
      <c r="B49" s="8">
        <v>2</v>
      </c>
      <c r="C49" s="8">
        <v>1</v>
      </c>
      <c r="D49" s="8">
        <v>0.14071910000000001</v>
      </c>
      <c r="E49" s="8" t="s">
        <v>113</v>
      </c>
      <c r="F49" s="8">
        <v>0</v>
      </c>
      <c r="G49" s="8" t="s">
        <v>113</v>
      </c>
      <c r="H49" s="8">
        <v>2.001205E-2</v>
      </c>
      <c r="I49" s="30" t="s">
        <v>134</v>
      </c>
      <c r="J49" s="8">
        <v>0</v>
      </c>
      <c r="K49" s="30" t="s">
        <v>134</v>
      </c>
      <c r="L49" s="3"/>
      <c r="M49" s="32">
        <v>0.37483840000000002</v>
      </c>
      <c r="N49" s="32" t="s">
        <v>134</v>
      </c>
      <c r="O49" s="32">
        <v>0</v>
      </c>
      <c r="P49" s="32" t="s">
        <v>134</v>
      </c>
      <c r="Q49" s="32" t="s">
        <v>51</v>
      </c>
      <c r="R49" s="6"/>
      <c r="S49" s="5"/>
      <c r="T49" s="5"/>
      <c r="U49" s="5"/>
    </row>
    <row r="50" spans="2:21" x14ac:dyDescent="0.2">
      <c r="B50" s="8">
        <v>3</v>
      </c>
      <c r="C50" s="8">
        <v>1</v>
      </c>
      <c r="D50" s="8">
        <v>0.14073630000000001</v>
      </c>
      <c r="E50" s="8" t="s">
        <v>113</v>
      </c>
      <c r="F50" s="8">
        <v>0</v>
      </c>
      <c r="G50" s="8" t="s">
        <v>113</v>
      </c>
      <c r="H50" s="8">
        <v>2.0003119999999999E-2</v>
      </c>
      <c r="I50" s="30" t="s">
        <v>134</v>
      </c>
      <c r="J50" s="8">
        <v>0</v>
      </c>
      <c r="K50" s="30" t="s">
        <v>134</v>
      </c>
      <c r="L50" s="3"/>
      <c r="M50" s="32">
        <v>0.36505880000000002</v>
      </c>
      <c r="N50" s="32">
        <v>0.66666669999999995</v>
      </c>
      <c r="O50" s="32">
        <v>0.28571429999999998</v>
      </c>
      <c r="P50" s="32">
        <v>0.4</v>
      </c>
      <c r="Q50" s="32" t="s">
        <v>50</v>
      </c>
      <c r="R50" s="5"/>
      <c r="S50" s="2"/>
      <c r="T50" s="8"/>
      <c r="U50" s="8"/>
    </row>
    <row r="51" spans="2:21" x14ac:dyDescent="0.2">
      <c r="B51" s="8">
        <v>4</v>
      </c>
      <c r="C51" s="8">
        <v>1</v>
      </c>
      <c r="D51" s="8">
        <v>0.1407504</v>
      </c>
      <c r="E51" s="8" t="s">
        <v>113</v>
      </c>
      <c r="F51" s="8">
        <v>0</v>
      </c>
      <c r="G51" s="8" t="s">
        <v>113</v>
      </c>
      <c r="H51" s="8">
        <v>2.0006690000000001E-2</v>
      </c>
      <c r="I51" s="30" t="s">
        <v>134</v>
      </c>
      <c r="J51" s="8">
        <v>0</v>
      </c>
      <c r="K51" s="30" t="s">
        <v>134</v>
      </c>
      <c r="L51" s="3"/>
      <c r="M51" s="32">
        <v>0.5534734</v>
      </c>
      <c r="N51" s="32">
        <v>0.85714290000000004</v>
      </c>
      <c r="O51" s="32">
        <v>0.75</v>
      </c>
      <c r="P51" s="32">
        <v>0.8</v>
      </c>
      <c r="Q51" s="32" t="s">
        <v>48</v>
      </c>
      <c r="R51" s="5"/>
      <c r="S51" s="2"/>
      <c r="T51" s="8"/>
      <c r="U51" s="8"/>
    </row>
    <row r="52" spans="2:21" x14ac:dyDescent="0.2">
      <c r="B52" s="8">
        <v>5</v>
      </c>
      <c r="C52" s="8">
        <v>1</v>
      </c>
      <c r="D52" s="8">
        <v>0.14073859999999999</v>
      </c>
      <c r="E52" s="8" t="s">
        <v>113</v>
      </c>
      <c r="F52" s="8">
        <v>0</v>
      </c>
      <c r="G52" s="8" t="s">
        <v>113</v>
      </c>
      <c r="H52" s="8">
        <v>2.0001419999999999E-2</v>
      </c>
      <c r="I52" s="30" t="s">
        <v>134</v>
      </c>
      <c r="J52" s="8">
        <v>0</v>
      </c>
      <c r="K52" s="30" t="s">
        <v>134</v>
      </c>
      <c r="L52" s="3"/>
      <c r="M52" s="32">
        <v>0.60286499999999998</v>
      </c>
      <c r="N52" s="32">
        <v>0.66666669999999995</v>
      </c>
      <c r="O52" s="32">
        <v>0.85714290000000004</v>
      </c>
      <c r="P52" s="32">
        <v>0.75</v>
      </c>
      <c r="Q52" s="32" t="s">
        <v>46</v>
      </c>
      <c r="R52" s="5"/>
      <c r="S52" s="2"/>
      <c r="T52" s="8"/>
      <c r="U52" s="8"/>
    </row>
    <row r="53" spans="2:21" x14ac:dyDescent="0.2">
      <c r="B53" s="8">
        <v>6</v>
      </c>
      <c r="C53" s="8">
        <v>1</v>
      </c>
      <c r="D53" s="8">
        <v>0.14072399999999999</v>
      </c>
      <c r="E53" s="8" t="s">
        <v>113</v>
      </c>
      <c r="F53" s="8">
        <v>0</v>
      </c>
      <c r="G53" s="8" t="s">
        <v>113</v>
      </c>
      <c r="H53" s="8">
        <v>2.0018169999999998E-2</v>
      </c>
      <c r="I53" s="30" t="s">
        <v>134</v>
      </c>
      <c r="J53" s="8">
        <v>0</v>
      </c>
      <c r="K53" s="30" t="s">
        <v>134</v>
      </c>
      <c r="L53" s="3"/>
      <c r="M53" s="32">
        <v>0.41052830000000001</v>
      </c>
      <c r="N53" s="32">
        <v>0.75</v>
      </c>
      <c r="O53" s="32">
        <v>0.42857139999999999</v>
      </c>
      <c r="P53" s="32">
        <v>0.54545449999999995</v>
      </c>
      <c r="Q53" s="32" t="s">
        <v>60</v>
      </c>
      <c r="R53" s="5"/>
      <c r="S53" s="2"/>
      <c r="T53" s="8"/>
      <c r="U53" s="8"/>
    </row>
    <row r="54" spans="2:21" x14ac:dyDescent="0.2">
      <c r="B54" s="8">
        <v>7</v>
      </c>
      <c r="C54" s="8">
        <v>1</v>
      </c>
      <c r="D54" s="8">
        <v>0.14072109999999999</v>
      </c>
      <c r="E54" s="8" t="s">
        <v>113</v>
      </c>
      <c r="F54" s="8">
        <v>0</v>
      </c>
      <c r="G54" s="8" t="s">
        <v>113</v>
      </c>
      <c r="H54" s="8">
        <v>2.0022189999999999E-2</v>
      </c>
      <c r="I54" s="30" t="s">
        <v>134</v>
      </c>
      <c r="J54" s="8">
        <v>0</v>
      </c>
      <c r="K54" s="30" t="s">
        <v>134</v>
      </c>
      <c r="L54" s="3"/>
      <c r="M54" s="32">
        <v>0.45650479999999999</v>
      </c>
      <c r="N54" s="32">
        <v>0.66666669999999995</v>
      </c>
      <c r="O54" s="32">
        <v>0.25</v>
      </c>
      <c r="P54" s="32">
        <v>0.36363640000000003</v>
      </c>
      <c r="Q54" s="32" t="s">
        <v>53</v>
      </c>
      <c r="R54" s="5"/>
      <c r="S54" s="2"/>
      <c r="T54" s="8"/>
      <c r="U54" s="8"/>
    </row>
    <row r="55" spans="2:21" x14ac:dyDescent="0.2">
      <c r="B55" s="8">
        <v>8</v>
      </c>
      <c r="C55" s="8">
        <v>1</v>
      </c>
      <c r="D55" s="8">
        <v>0.14072109999999999</v>
      </c>
      <c r="E55" s="8" t="s">
        <v>113</v>
      </c>
      <c r="F55" s="8">
        <v>0</v>
      </c>
      <c r="G55" s="8" t="s">
        <v>113</v>
      </c>
      <c r="H55" s="8">
        <v>2.0022189999999999E-2</v>
      </c>
      <c r="I55" s="30" t="s">
        <v>134</v>
      </c>
      <c r="J55" s="8">
        <v>0</v>
      </c>
      <c r="K55" s="30" t="s">
        <v>134</v>
      </c>
      <c r="M55" s="32">
        <v>0.47290589999999999</v>
      </c>
      <c r="N55" s="32">
        <v>0.83333330000000005</v>
      </c>
      <c r="O55" s="32">
        <v>0.71428570000000002</v>
      </c>
      <c r="P55" s="32">
        <v>0.76923079999999999</v>
      </c>
      <c r="Q55" s="32" t="s">
        <v>54</v>
      </c>
      <c r="R55" s="5"/>
      <c r="S55" s="5"/>
      <c r="T55" s="5"/>
      <c r="U55" s="5"/>
    </row>
    <row r="56" spans="2:21" x14ac:dyDescent="0.2">
      <c r="B56" s="8">
        <v>9</v>
      </c>
      <c r="C56" s="8">
        <v>1</v>
      </c>
      <c r="D56" s="8">
        <v>0.14072109999999999</v>
      </c>
      <c r="E56" s="8" t="s">
        <v>113</v>
      </c>
      <c r="F56" s="8">
        <v>0</v>
      </c>
      <c r="G56" s="8" t="s">
        <v>113</v>
      </c>
      <c r="H56" s="8">
        <v>2.0022189999999999E-2</v>
      </c>
      <c r="I56" s="30" t="s">
        <v>134</v>
      </c>
      <c r="J56" s="8">
        <v>0</v>
      </c>
      <c r="K56" s="30" t="s">
        <v>134</v>
      </c>
      <c r="M56" s="32">
        <v>0.48407240000000001</v>
      </c>
      <c r="N56" s="32">
        <v>0.75</v>
      </c>
      <c r="O56" s="32">
        <v>0.42857139999999999</v>
      </c>
      <c r="P56" s="32">
        <v>0.54545449999999995</v>
      </c>
      <c r="Q56" s="32" t="s">
        <v>62</v>
      </c>
      <c r="R56" s="5"/>
      <c r="S56" s="5"/>
      <c r="T56" s="5"/>
      <c r="U56" s="5"/>
    </row>
    <row r="57" spans="2:21" x14ac:dyDescent="0.2">
      <c r="B57" s="8">
        <v>10</v>
      </c>
      <c r="C57" s="8">
        <v>1</v>
      </c>
      <c r="D57" s="8">
        <v>0.14073630000000001</v>
      </c>
      <c r="E57" s="8" t="s">
        <v>113</v>
      </c>
      <c r="F57" s="8">
        <v>0</v>
      </c>
      <c r="G57" s="8" t="s">
        <v>113</v>
      </c>
      <c r="H57" s="8">
        <v>2.0003119999999999E-2</v>
      </c>
      <c r="I57" s="30" t="s">
        <v>134</v>
      </c>
      <c r="J57" s="8">
        <v>0</v>
      </c>
      <c r="K57" s="30" t="s">
        <v>134</v>
      </c>
      <c r="M57" s="32">
        <v>0.4305756</v>
      </c>
      <c r="N57" s="32">
        <v>0.5</v>
      </c>
      <c r="O57" s="32">
        <v>0.125</v>
      </c>
      <c r="P57" s="32">
        <v>0.2</v>
      </c>
      <c r="Q57" s="32" t="s">
        <v>47</v>
      </c>
      <c r="R57" s="5"/>
      <c r="S57" s="5"/>
      <c r="T57" s="5"/>
      <c r="U57" s="5"/>
    </row>
    <row r="58" spans="2:21" x14ac:dyDescent="0.2">
      <c r="B58" s="8">
        <v>0.01</v>
      </c>
      <c r="C58" s="8">
        <v>2</v>
      </c>
      <c r="D58" s="8">
        <v>0.12740750000000001</v>
      </c>
      <c r="E58" s="8" t="s">
        <v>113</v>
      </c>
      <c r="F58" s="8">
        <v>0</v>
      </c>
      <c r="G58" s="8" t="s">
        <v>113</v>
      </c>
      <c r="H58" s="8">
        <v>3.5637179999999997E-2</v>
      </c>
      <c r="I58" s="30" t="s">
        <v>134</v>
      </c>
      <c r="J58" s="8">
        <v>0</v>
      </c>
      <c r="K58" s="30" t="s">
        <v>134</v>
      </c>
      <c r="M58" s="32">
        <v>0.57263450000000005</v>
      </c>
      <c r="N58" s="32">
        <v>0.8</v>
      </c>
      <c r="O58" s="32">
        <v>0.57142859999999995</v>
      </c>
      <c r="P58" s="32">
        <v>0.66666669999999995</v>
      </c>
      <c r="Q58" s="32" t="s">
        <v>63</v>
      </c>
      <c r="R58" s="5"/>
      <c r="U58" s="5"/>
    </row>
    <row r="59" spans="2:21" x14ac:dyDescent="0.2">
      <c r="B59" s="8">
        <v>0.1</v>
      </c>
      <c r="C59" s="8">
        <v>2</v>
      </c>
      <c r="D59" s="8">
        <v>0.1224621</v>
      </c>
      <c r="E59" s="8" t="s">
        <v>113</v>
      </c>
      <c r="F59" s="8">
        <v>0</v>
      </c>
      <c r="G59" s="8" t="s">
        <v>113</v>
      </c>
      <c r="H59" s="8">
        <v>2.7351199999999999E-2</v>
      </c>
      <c r="I59" s="30" t="s">
        <v>134</v>
      </c>
      <c r="J59" s="8">
        <v>0</v>
      </c>
      <c r="K59" s="30" t="s">
        <v>134</v>
      </c>
      <c r="M59" s="32">
        <v>0.61384249999999996</v>
      </c>
      <c r="N59" s="32">
        <v>0.8</v>
      </c>
      <c r="O59" s="32">
        <v>0.57142859999999995</v>
      </c>
      <c r="P59" s="32">
        <v>0.66666669999999995</v>
      </c>
      <c r="Q59" s="32" t="s">
        <v>56</v>
      </c>
      <c r="U59" s="5"/>
    </row>
    <row r="60" spans="2:21" x14ac:dyDescent="0.2">
      <c r="B60" s="8">
        <v>0.5</v>
      </c>
      <c r="C60" s="8">
        <v>2</v>
      </c>
      <c r="D60" s="8">
        <v>0.1256015</v>
      </c>
      <c r="E60" s="8" t="s">
        <v>113</v>
      </c>
      <c r="F60" s="8">
        <v>0</v>
      </c>
      <c r="G60" s="8" t="s">
        <v>113</v>
      </c>
      <c r="H60" s="8">
        <v>2.402808E-2</v>
      </c>
      <c r="I60" s="30" t="s">
        <v>134</v>
      </c>
      <c r="J60" s="8">
        <v>0</v>
      </c>
      <c r="K60" s="30" t="s">
        <v>134</v>
      </c>
      <c r="M60" s="32">
        <v>0.32482440000000001</v>
      </c>
      <c r="N60" s="32">
        <v>0</v>
      </c>
      <c r="O60" s="32">
        <v>0</v>
      </c>
      <c r="P60" s="32" t="s">
        <v>113</v>
      </c>
      <c r="Q60" s="32" t="s">
        <v>41</v>
      </c>
      <c r="U60" s="5"/>
    </row>
    <row r="61" spans="2:21" x14ac:dyDescent="0.2">
      <c r="B61" s="8">
        <v>1</v>
      </c>
      <c r="C61" s="8">
        <v>2</v>
      </c>
      <c r="D61" s="8">
        <v>0.125555</v>
      </c>
      <c r="E61" s="8" t="s">
        <v>113</v>
      </c>
      <c r="F61" s="8">
        <v>0</v>
      </c>
      <c r="G61" s="8" t="s">
        <v>113</v>
      </c>
      <c r="H61" s="8">
        <v>2.3905320000000001E-2</v>
      </c>
      <c r="I61" s="30" t="s">
        <v>134</v>
      </c>
      <c r="J61" s="8">
        <v>0</v>
      </c>
      <c r="K61" s="30" t="s">
        <v>134</v>
      </c>
      <c r="M61" s="32">
        <v>0.47369709999999998</v>
      </c>
      <c r="N61" s="32">
        <v>1</v>
      </c>
      <c r="O61" s="32">
        <v>0.14285709999999999</v>
      </c>
      <c r="P61" s="32">
        <v>0.25</v>
      </c>
      <c r="Q61" s="32" t="s">
        <v>49</v>
      </c>
      <c r="U61" s="16"/>
    </row>
    <row r="62" spans="2:21" x14ac:dyDescent="0.2">
      <c r="B62" s="8">
        <v>2</v>
      </c>
      <c r="C62" s="8">
        <v>2</v>
      </c>
      <c r="D62" s="8">
        <v>0.1263396</v>
      </c>
      <c r="E62" s="8" t="s">
        <v>113</v>
      </c>
      <c r="F62" s="8">
        <v>0</v>
      </c>
      <c r="G62" s="8" t="s">
        <v>113</v>
      </c>
      <c r="H62" s="8">
        <v>2.4270839999999998E-2</v>
      </c>
      <c r="I62" s="30" t="s">
        <v>134</v>
      </c>
      <c r="J62" s="8">
        <v>0</v>
      </c>
      <c r="K62" s="30" t="s">
        <v>134</v>
      </c>
      <c r="M62" s="32">
        <v>0.29840800000000001</v>
      </c>
      <c r="N62" s="32">
        <v>0.4</v>
      </c>
      <c r="O62" s="32">
        <v>0.28571429999999998</v>
      </c>
      <c r="P62" s="32">
        <v>0.3333333</v>
      </c>
      <c r="Q62" s="32" t="s">
        <v>55</v>
      </c>
      <c r="U62" s="16"/>
    </row>
    <row r="63" spans="2:21" x14ac:dyDescent="0.2">
      <c r="B63" s="8">
        <v>3</v>
      </c>
      <c r="C63" s="8">
        <v>2</v>
      </c>
      <c r="D63" s="8">
        <v>0.12738530000000001</v>
      </c>
      <c r="E63" s="8" t="s">
        <v>113</v>
      </c>
      <c r="F63" s="8">
        <v>0</v>
      </c>
      <c r="G63" s="8" t="s">
        <v>113</v>
      </c>
      <c r="H63" s="8">
        <v>2.4406000000000001E-2</v>
      </c>
      <c r="I63" s="30" t="s">
        <v>134</v>
      </c>
      <c r="J63" s="8">
        <v>0</v>
      </c>
      <c r="K63" s="30" t="s">
        <v>134</v>
      </c>
      <c r="M63" s="32">
        <v>0.39204990000000001</v>
      </c>
      <c r="N63" s="32">
        <v>1</v>
      </c>
      <c r="O63" s="32">
        <v>0.14285709999999999</v>
      </c>
      <c r="P63" s="32">
        <v>0.25</v>
      </c>
      <c r="Q63" s="32" t="s">
        <v>43</v>
      </c>
      <c r="U63" s="16"/>
    </row>
    <row r="64" spans="2:21" x14ac:dyDescent="0.2">
      <c r="B64" s="8">
        <v>4</v>
      </c>
      <c r="C64" s="8">
        <v>2</v>
      </c>
      <c r="D64" s="8">
        <v>0.12628320000000001</v>
      </c>
      <c r="E64" s="8" t="s">
        <v>113</v>
      </c>
      <c r="F64" s="8">
        <v>0</v>
      </c>
      <c r="G64" s="8" t="s">
        <v>113</v>
      </c>
      <c r="H64" s="8">
        <v>2.4094250000000001E-2</v>
      </c>
      <c r="I64" s="30" t="s">
        <v>134</v>
      </c>
      <c r="J64" s="8">
        <v>0</v>
      </c>
      <c r="K64" s="30" t="s">
        <v>134</v>
      </c>
      <c r="M64" s="32">
        <v>0.51561789999999996</v>
      </c>
      <c r="N64" s="32">
        <v>1</v>
      </c>
      <c r="O64" s="32">
        <v>0.28571429999999998</v>
      </c>
      <c r="P64" s="32">
        <v>0.44444440000000002</v>
      </c>
      <c r="Q64" s="32" t="s">
        <v>57</v>
      </c>
      <c r="U64" s="10"/>
    </row>
    <row r="65" spans="2:21" x14ac:dyDescent="0.2">
      <c r="B65" s="8">
        <v>5</v>
      </c>
      <c r="C65" s="8">
        <v>2</v>
      </c>
      <c r="D65" s="8">
        <v>0.12884619999999999</v>
      </c>
      <c r="E65" s="8" t="s">
        <v>113</v>
      </c>
      <c r="F65" s="8">
        <v>0</v>
      </c>
      <c r="G65" s="8" t="s">
        <v>113</v>
      </c>
      <c r="H65" s="8">
        <v>2.5117400000000002E-2</v>
      </c>
      <c r="I65" s="30" t="s">
        <v>134</v>
      </c>
      <c r="J65" s="8">
        <v>0</v>
      </c>
      <c r="K65" s="30" t="s">
        <v>134</v>
      </c>
      <c r="M65" s="32">
        <v>0.6094562</v>
      </c>
      <c r="N65" s="32">
        <v>0.5</v>
      </c>
      <c r="O65" s="32">
        <v>0.25</v>
      </c>
      <c r="P65" s="32">
        <v>0.3333333</v>
      </c>
      <c r="Q65" s="32" t="s">
        <v>52</v>
      </c>
      <c r="U65" s="10"/>
    </row>
    <row r="66" spans="2:21" x14ac:dyDescent="0.2">
      <c r="B66" s="8">
        <v>6</v>
      </c>
      <c r="C66" s="8">
        <v>2</v>
      </c>
      <c r="D66" s="8">
        <v>0.1270357</v>
      </c>
      <c r="E66" s="8" t="s">
        <v>113</v>
      </c>
      <c r="F66" s="8">
        <v>0</v>
      </c>
      <c r="G66" s="8" t="s">
        <v>113</v>
      </c>
      <c r="H66" s="8">
        <v>2.4895710000000001E-2</v>
      </c>
      <c r="I66" s="30" t="s">
        <v>134</v>
      </c>
      <c r="J66" s="8">
        <v>0</v>
      </c>
      <c r="K66" s="30" t="s">
        <v>134</v>
      </c>
      <c r="M66" s="32">
        <v>0.40430450000000001</v>
      </c>
      <c r="N66" s="32">
        <v>0.66666669999999995</v>
      </c>
      <c r="O66" s="32">
        <v>0.28571429999999998</v>
      </c>
      <c r="P66" s="32">
        <v>0.4</v>
      </c>
      <c r="Q66" s="32" t="s">
        <v>42</v>
      </c>
      <c r="U66" s="10"/>
    </row>
    <row r="67" spans="2:21" x14ac:dyDescent="0.2">
      <c r="B67" s="8">
        <v>7</v>
      </c>
      <c r="C67" s="8">
        <v>2</v>
      </c>
      <c r="D67" s="8">
        <v>0.1278687</v>
      </c>
      <c r="E67" s="8" t="s">
        <v>113</v>
      </c>
      <c r="F67" s="8">
        <v>0</v>
      </c>
      <c r="G67" s="8" t="s">
        <v>113</v>
      </c>
      <c r="H67" s="8">
        <v>2.5744920000000001E-2</v>
      </c>
      <c r="I67" s="30" t="s">
        <v>134</v>
      </c>
      <c r="J67" s="8">
        <v>0</v>
      </c>
      <c r="K67" s="30" t="s">
        <v>134</v>
      </c>
      <c r="M67" s="32">
        <v>0.49389280000000002</v>
      </c>
      <c r="N67" s="32">
        <v>0.66666669999999995</v>
      </c>
      <c r="O67" s="32">
        <v>0.28571429999999998</v>
      </c>
      <c r="P67" s="32">
        <v>0.4</v>
      </c>
      <c r="Q67" s="32" t="s">
        <v>40</v>
      </c>
      <c r="S67" s="2"/>
    </row>
    <row r="68" spans="2:21" x14ac:dyDescent="0.2">
      <c r="B68" s="8">
        <v>8</v>
      </c>
      <c r="C68" s="8">
        <v>2</v>
      </c>
      <c r="D68" s="8">
        <v>0.12555749999999999</v>
      </c>
      <c r="E68" s="8" t="s">
        <v>113</v>
      </c>
      <c r="F68" s="8">
        <v>0</v>
      </c>
      <c r="G68" s="8" t="s">
        <v>113</v>
      </c>
      <c r="H68" s="8">
        <v>2.294063E-2</v>
      </c>
      <c r="I68" s="30" t="s">
        <v>134</v>
      </c>
      <c r="J68" s="8">
        <v>0</v>
      </c>
      <c r="K68" s="30" t="s">
        <v>134</v>
      </c>
      <c r="M68" s="32">
        <v>0.69397889999999995</v>
      </c>
      <c r="N68" s="32">
        <v>1</v>
      </c>
      <c r="O68" s="32">
        <v>0.71428570000000002</v>
      </c>
      <c r="P68" s="32">
        <v>0.83333330000000005</v>
      </c>
      <c r="Q68" s="32" t="s">
        <v>44</v>
      </c>
      <c r="S68" s="2"/>
    </row>
    <row r="69" spans="2:21" x14ac:dyDescent="0.2">
      <c r="B69" s="8">
        <v>9</v>
      </c>
      <c r="C69" s="8">
        <v>2</v>
      </c>
      <c r="D69" s="8">
        <v>0.12707379999999999</v>
      </c>
      <c r="E69" s="8" t="s">
        <v>113</v>
      </c>
      <c r="F69" s="8">
        <v>0</v>
      </c>
      <c r="G69" s="8" t="s">
        <v>113</v>
      </c>
      <c r="H69" s="8">
        <v>2.4070790000000002E-2</v>
      </c>
      <c r="I69" s="30" t="s">
        <v>134</v>
      </c>
      <c r="J69" s="8">
        <v>0</v>
      </c>
      <c r="K69" s="30" t="s">
        <v>134</v>
      </c>
      <c r="M69" s="32">
        <v>0.3935631</v>
      </c>
      <c r="N69" s="32">
        <v>1</v>
      </c>
      <c r="O69" s="32">
        <v>0.25</v>
      </c>
      <c r="P69" s="32">
        <v>0.4</v>
      </c>
      <c r="Q69" s="32" t="s">
        <v>39</v>
      </c>
      <c r="S69" s="2"/>
    </row>
    <row r="70" spans="2:21" x14ac:dyDescent="0.2">
      <c r="B70" s="8">
        <v>10</v>
      </c>
      <c r="C70" s="8">
        <v>2</v>
      </c>
      <c r="D70" s="8">
        <v>0.1266649</v>
      </c>
      <c r="E70" s="8" t="s">
        <v>113</v>
      </c>
      <c r="F70" s="8">
        <v>0</v>
      </c>
      <c r="G70" s="8" t="s">
        <v>113</v>
      </c>
      <c r="H70" s="8">
        <v>2.3592120000000001E-2</v>
      </c>
      <c r="I70" s="30" t="s">
        <v>134</v>
      </c>
      <c r="J70" s="8">
        <v>0</v>
      </c>
      <c r="K70" s="30" t="s">
        <v>134</v>
      </c>
      <c r="M70" s="32">
        <v>0.44367410000000002</v>
      </c>
      <c r="N70" s="32">
        <v>0.66666669999999995</v>
      </c>
      <c r="O70" s="32">
        <v>0.28571429999999998</v>
      </c>
      <c r="P70" s="32">
        <v>0.4</v>
      </c>
      <c r="Q70" s="32" t="s">
        <v>58</v>
      </c>
      <c r="S70" s="2"/>
    </row>
    <row r="71" spans="2:21" x14ac:dyDescent="0.2">
      <c r="M71" s="32">
        <v>0.37636920000000001</v>
      </c>
      <c r="N71" s="32">
        <v>0.375</v>
      </c>
      <c r="O71" s="32">
        <v>0.42857139999999999</v>
      </c>
      <c r="P71" s="32">
        <v>0.4</v>
      </c>
      <c r="Q71" s="32" t="s">
        <v>45</v>
      </c>
      <c r="S71" s="2"/>
    </row>
    <row r="72" spans="2:21" x14ac:dyDescent="0.2">
      <c r="M72" s="32">
        <v>0.46192240000000001</v>
      </c>
      <c r="N72" s="32">
        <v>0.66666669999999995</v>
      </c>
      <c r="O72" s="32">
        <v>0.28571429999999998</v>
      </c>
      <c r="P72" s="32">
        <v>0.4</v>
      </c>
      <c r="Q72" s="32" t="s">
        <v>59</v>
      </c>
      <c r="S72" s="2"/>
    </row>
    <row r="73" spans="2:21" x14ac:dyDescent="0.2">
      <c r="S73" s="2"/>
    </row>
    <row r="74" spans="2:21" x14ac:dyDescent="0.2">
      <c r="S74" s="2"/>
    </row>
    <row r="75" spans="2:21" x14ac:dyDescent="0.2">
      <c r="S75" s="2"/>
    </row>
    <row r="76" spans="2:21" x14ac:dyDescent="0.2">
      <c r="S76" s="2"/>
    </row>
    <row r="77" spans="2:21" x14ac:dyDescent="0.2">
      <c r="S77" s="2"/>
    </row>
    <row r="78" spans="2:21" x14ac:dyDescent="0.2">
      <c r="S78" s="2"/>
    </row>
    <row r="79" spans="2:21" x14ac:dyDescent="0.2">
      <c r="S79" s="2"/>
    </row>
    <row r="80" spans="2:21" x14ac:dyDescent="0.2">
      <c r="S80" s="2"/>
    </row>
    <row r="81" spans="14:19" x14ac:dyDescent="0.2">
      <c r="S81" s="2"/>
    </row>
    <row r="82" spans="14:19" x14ac:dyDescent="0.2">
      <c r="S82" s="2"/>
    </row>
    <row r="83" spans="14:19" x14ac:dyDescent="0.2">
      <c r="S83" s="2"/>
    </row>
    <row r="84" spans="14:19" x14ac:dyDescent="0.2">
      <c r="S84" s="2"/>
    </row>
    <row r="85" spans="14:19" x14ac:dyDescent="0.2">
      <c r="S85" s="2"/>
    </row>
    <row r="86" spans="14:19" x14ac:dyDescent="0.2">
      <c r="N86" s="2"/>
      <c r="S86" s="2"/>
    </row>
    <row r="87" spans="14:19" x14ac:dyDescent="0.2">
      <c r="N87" s="2"/>
      <c r="S87" s="2"/>
    </row>
    <row r="88" spans="14:19" x14ac:dyDescent="0.2">
      <c r="N88" s="2"/>
      <c r="S88" s="2"/>
    </row>
    <row r="89" spans="14:19" x14ac:dyDescent="0.2">
      <c r="N89" s="2"/>
      <c r="S89" s="2"/>
    </row>
    <row r="90" spans="14:19" x14ac:dyDescent="0.2">
      <c r="N90" s="2"/>
      <c r="S90" s="2"/>
    </row>
    <row r="91" spans="14:19" x14ac:dyDescent="0.2">
      <c r="N91" s="2"/>
      <c r="S91" s="2"/>
    </row>
    <row r="92" spans="14:19" x14ac:dyDescent="0.2">
      <c r="N92" s="2"/>
      <c r="S92" s="2"/>
    </row>
    <row r="93" spans="14:19" x14ac:dyDescent="0.2">
      <c r="N93" s="2"/>
      <c r="S93" s="2"/>
    </row>
    <row r="94" spans="14:19" x14ac:dyDescent="0.2">
      <c r="N94" s="2"/>
      <c r="S94" s="2"/>
    </row>
    <row r="95" spans="14:19" x14ac:dyDescent="0.2">
      <c r="N95" s="2"/>
      <c r="S95" s="2"/>
    </row>
    <row r="96" spans="14:19" x14ac:dyDescent="0.2">
      <c r="N96" s="2"/>
      <c r="S96" s="2"/>
    </row>
    <row r="97" spans="14:19" x14ac:dyDescent="0.2">
      <c r="N97" s="2"/>
      <c r="S97" s="2"/>
    </row>
    <row r="98" spans="14:19" x14ac:dyDescent="0.2">
      <c r="N98" s="2"/>
      <c r="S98" s="2"/>
    </row>
    <row r="99" spans="14:19" x14ac:dyDescent="0.2">
      <c r="N99" s="2"/>
      <c r="S99" s="2"/>
    </row>
    <row r="100" spans="14:19" x14ac:dyDescent="0.2">
      <c r="N100" s="2"/>
      <c r="S100" s="2"/>
    </row>
    <row r="101" spans="14:19" x14ac:dyDescent="0.2">
      <c r="N101" s="2"/>
      <c r="S101" s="2"/>
    </row>
    <row r="102" spans="14:19" x14ac:dyDescent="0.2">
      <c r="N102" s="2"/>
      <c r="S102" s="2"/>
    </row>
    <row r="103" spans="14:19" x14ac:dyDescent="0.2">
      <c r="N103" s="2"/>
      <c r="S103" s="2"/>
    </row>
    <row r="104" spans="14:19" x14ac:dyDescent="0.2">
      <c r="N104" s="2"/>
      <c r="S104" s="2"/>
    </row>
    <row r="105" spans="14:19" x14ac:dyDescent="0.2">
      <c r="N105" s="2"/>
      <c r="S105" s="2"/>
    </row>
    <row r="106" spans="14:19" x14ac:dyDescent="0.2">
      <c r="N106" s="2"/>
      <c r="S106" s="2"/>
    </row>
    <row r="107" spans="14:19" x14ac:dyDescent="0.2">
      <c r="S107" s="2"/>
    </row>
    <row r="108" spans="14:19" x14ac:dyDescent="0.2">
      <c r="S108" s="2"/>
    </row>
    <row r="109" spans="14:19" x14ac:dyDescent="0.2">
      <c r="S109" s="2"/>
    </row>
    <row r="110" spans="14:19" x14ac:dyDescent="0.2">
      <c r="S110" s="2"/>
    </row>
    <row r="111" spans="14:19" x14ac:dyDescent="0.2">
      <c r="S111" s="2"/>
    </row>
    <row r="112" spans="14:19" x14ac:dyDescent="0.2">
      <c r="S112" s="2"/>
    </row>
    <row r="113" spans="19:38" x14ac:dyDescent="0.2">
      <c r="S113" s="2"/>
    </row>
    <row r="114" spans="19:38" x14ac:dyDescent="0.2">
      <c r="S114" s="2"/>
    </row>
    <row r="115" spans="19:38" x14ac:dyDescent="0.2">
      <c r="S115" s="2"/>
    </row>
    <row r="116" spans="19:38" x14ac:dyDescent="0.2">
      <c r="S116" s="2"/>
    </row>
    <row r="117" spans="19:38" x14ac:dyDescent="0.2">
      <c r="S117" s="2"/>
    </row>
    <row r="118" spans="19:38" x14ac:dyDescent="0.2">
      <c r="S118" s="2"/>
    </row>
    <row r="119" spans="19:38" x14ac:dyDescent="0.2">
      <c r="S119" s="2"/>
      <c r="AL119" s="2"/>
    </row>
    <row r="120" spans="19:38" x14ac:dyDescent="0.2">
      <c r="S120" s="2"/>
      <c r="AL120" s="2"/>
    </row>
    <row r="121" spans="19:38" x14ac:dyDescent="0.2">
      <c r="S121" s="2"/>
      <c r="AL121" s="2"/>
    </row>
    <row r="122" spans="19:38" x14ac:dyDescent="0.2">
      <c r="S122" s="2"/>
      <c r="AL122" s="2"/>
    </row>
    <row r="123" spans="19:38" x14ac:dyDescent="0.2">
      <c r="S123" s="2"/>
      <c r="AL123" s="2"/>
    </row>
    <row r="124" spans="19:38" x14ac:dyDescent="0.2">
      <c r="S124" s="2"/>
      <c r="AL124" s="2"/>
    </row>
    <row r="125" spans="19:38" x14ac:dyDescent="0.2">
      <c r="S125" s="2"/>
      <c r="AL125" s="2"/>
    </row>
    <row r="126" spans="19:38" x14ac:dyDescent="0.2">
      <c r="S126" s="2"/>
      <c r="AL126" s="2"/>
    </row>
    <row r="127" spans="19:38" x14ac:dyDescent="0.2">
      <c r="S127" s="2"/>
      <c r="AL127" s="2"/>
    </row>
    <row r="128" spans="19:38" x14ac:dyDescent="0.2">
      <c r="S128" s="2"/>
      <c r="AL128" s="2"/>
    </row>
    <row r="129" spans="19:38" x14ac:dyDescent="0.2">
      <c r="S129" s="2"/>
      <c r="AL129" s="2"/>
    </row>
    <row r="130" spans="19:38" x14ac:dyDescent="0.2">
      <c r="S130" s="2"/>
      <c r="AL130" s="2"/>
    </row>
    <row r="131" spans="19:38" x14ac:dyDescent="0.2">
      <c r="S131" s="2"/>
      <c r="AL131" s="2"/>
    </row>
    <row r="132" spans="19:38" x14ac:dyDescent="0.2">
      <c r="S132" s="2"/>
      <c r="AL132" s="2"/>
    </row>
    <row r="133" spans="19:38" x14ac:dyDescent="0.2">
      <c r="S133" s="2"/>
      <c r="AL133" s="2"/>
    </row>
    <row r="134" spans="19:38" x14ac:dyDescent="0.2">
      <c r="S134" s="2"/>
      <c r="AL134" s="2"/>
    </row>
    <row r="135" spans="19:38" x14ac:dyDescent="0.2">
      <c r="S135" s="2"/>
      <c r="AL135" s="2"/>
    </row>
    <row r="136" spans="19:38" x14ac:dyDescent="0.2">
      <c r="S136" s="2"/>
      <c r="AL136" s="2"/>
    </row>
    <row r="137" spans="19:38" x14ac:dyDescent="0.2">
      <c r="S137" s="2"/>
      <c r="AL137" s="2"/>
    </row>
    <row r="138" spans="19:38" x14ac:dyDescent="0.2">
      <c r="S138" s="2"/>
      <c r="AL138" s="2"/>
    </row>
    <row r="139" spans="19:38" x14ac:dyDescent="0.2">
      <c r="S139" s="2"/>
      <c r="AL139" s="2"/>
    </row>
    <row r="140" spans="19:38" x14ac:dyDescent="0.2">
      <c r="S140" s="2"/>
      <c r="AL140" s="2"/>
    </row>
    <row r="141" spans="19:38" x14ac:dyDescent="0.2">
      <c r="S141" s="2"/>
      <c r="AL141" s="2"/>
    </row>
    <row r="142" spans="19:38" x14ac:dyDescent="0.2">
      <c r="S142" s="2"/>
      <c r="AL142" s="2"/>
    </row>
    <row r="143" spans="19:38" x14ac:dyDescent="0.2">
      <c r="S143" s="2"/>
      <c r="AL143" s="2"/>
    </row>
    <row r="144" spans="19:38" x14ac:dyDescent="0.2">
      <c r="S144" s="2"/>
      <c r="AL144" s="2"/>
    </row>
    <row r="145" spans="19:38" x14ac:dyDescent="0.2">
      <c r="S145" s="2"/>
      <c r="AL145" s="2"/>
    </row>
    <row r="146" spans="19:38" x14ac:dyDescent="0.2">
      <c r="S146" s="2"/>
      <c r="AL146" s="2"/>
    </row>
    <row r="147" spans="19:38" x14ac:dyDescent="0.2">
      <c r="S147" s="2"/>
      <c r="AL147" s="2"/>
    </row>
    <row r="148" spans="19:38" x14ac:dyDescent="0.2">
      <c r="S148" s="2"/>
      <c r="AL148" s="2"/>
    </row>
    <row r="149" spans="19:38" x14ac:dyDescent="0.2">
      <c r="S149" s="2"/>
      <c r="AL149" s="2"/>
    </row>
    <row r="150" spans="19:38" x14ac:dyDescent="0.2">
      <c r="S150" s="2"/>
      <c r="AL150" s="2"/>
    </row>
    <row r="151" spans="19:38" x14ac:dyDescent="0.2">
      <c r="S151" s="2"/>
      <c r="AL151" s="2"/>
    </row>
    <row r="152" spans="19:38" x14ac:dyDescent="0.2">
      <c r="S152" s="2"/>
      <c r="AL152" s="2"/>
    </row>
    <row r="153" spans="19:38" x14ac:dyDescent="0.2">
      <c r="S153" s="2"/>
      <c r="AL153" s="2"/>
    </row>
    <row r="154" spans="19:38" x14ac:dyDescent="0.2">
      <c r="S154" s="2"/>
      <c r="AL154" s="2"/>
    </row>
    <row r="155" spans="19:38" x14ac:dyDescent="0.2">
      <c r="S155" s="2"/>
      <c r="AL155" s="2"/>
    </row>
    <row r="156" spans="19:38" x14ac:dyDescent="0.2">
      <c r="S156" s="2"/>
      <c r="AL156" s="2"/>
    </row>
    <row r="157" spans="19:38" x14ac:dyDescent="0.2">
      <c r="S157" s="2"/>
      <c r="AL157" s="2"/>
    </row>
    <row r="158" spans="19:38" x14ac:dyDescent="0.2">
      <c r="S158" s="2"/>
      <c r="AL158" s="2"/>
    </row>
    <row r="159" spans="19:38" x14ac:dyDescent="0.2">
      <c r="S159" s="2"/>
      <c r="AL159" s="2"/>
    </row>
    <row r="160" spans="19:38" x14ac:dyDescent="0.2">
      <c r="S160" s="2"/>
      <c r="AL160" s="2"/>
    </row>
    <row r="161" spans="19:38" x14ac:dyDescent="0.2">
      <c r="S161" s="2"/>
      <c r="AL161" s="2"/>
    </row>
    <row r="162" spans="19:38" x14ac:dyDescent="0.2">
      <c r="S162" s="2"/>
      <c r="AL162" s="2"/>
    </row>
    <row r="163" spans="19:38" x14ac:dyDescent="0.2">
      <c r="S163" s="2"/>
      <c r="AL163" s="2"/>
    </row>
    <row r="164" spans="19:38" x14ac:dyDescent="0.2">
      <c r="S164" s="2"/>
      <c r="AL164" s="2"/>
    </row>
    <row r="165" spans="19:38" x14ac:dyDescent="0.2">
      <c r="S165" s="2"/>
      <c r="AL165" s="2"/>
    </row>
    <row r="166" spans="19:38" x14ac:dyDescent="0.2">
      <c r="S166" s="2"/>
      <c r="AL166" s="2"/>
    </row>
    <row r="167" spans="19:38" x14ac:dyDescent="0.2">
      <c r="S167" s="2"/>
      <c r="AL167" s="2"/>
    </row>
    <row r="168" spans="19:38" x14ac:dyDescent="0.2">
      <c r="S168" s="2"/>
      <c r="AL168" s="2"/>
    </row>
    <row r="169" spans="19:38" x14ac:dyDescent="0.2">
      <c r="S169" s="2"/>
      <c r="AL169" s="2"/>
    </row>
    <row r="170" spans="19:38" x14ac:dyDescent="0.2">
      <c r="S170" s="2"/>
      <c r="AL170" s="2"/>
    </row>
    <row r="171" spans="19:38" x14ac:dyDescent="0.2">
      <c r="S171" s="2"/>
      <c r="AL171" s="2"/>
    </row>
    <row r="172" spans="19:38" x14ac:dyDescent="0.2">
      <c r="S172" s="2"/>
      <c r="AL172" s="2"/>
    </row>
    <row r="173" spans="19:38" x14ac:dyDescent="0.2">
      <c r="S173" s="2"/>
      <c r="AL173" s="2"/>
    </row>
    <row r="174" spans="19:38" x14ac:dyDescent="0.2">
      <c r="S174" s="2"/>
      <c r="AL174" s="2"/>
    </row>
    <row r="175" spans="19:38" x14ac:dyDescent="0.2">
      <c r="S175" s="2"/>
      <c r="AL175" s="2"/>
    </row>
    <row r="176" spans="19:38" x14ac:dyDescent="0.2">
      <c r="S176" s="2"/>
      <c r="AL176" s="2"/>
    </row>
    <row r="177" spans="19:38" x14ac:dyDescent="0.2">
      <c r="S177" s="2"/>
      <c r="AL177" s="2"/>
    </row>
    <row r="178" spans="19:38" x14ac:dyDescent="0.2">
      <c r="S178" s="2"/>
      <c r="AL178" s="2"/>
    </row>
    <row r="179" spans="19:38" x14ac:dyDescent="0.2">
      <c r="S179" s="2"/>
      <c r="AL179" s="2"/>
    </row>
    <row r="180" spans="19:38" x14ac:dyDescent="0.2">
      <c r="S180" s="2"/>
      <c r="AL180" s="2"/>
    </row>
    <row r="181" spans="19:38" x14ac:dyDescent="0.2">
      <c r="S181" s="2"/>
      <c r="AL181" s="2"/>
    </row>
    <row r="182" spans="19:38" x14ac:dyDescent="0.2">
      <c r="S182" s="2"/>
      <c r="AL182" s="2"/>
    </row>
    <row r="183" spans="19:38" x14ac:dyDescent="0.2">
      <c r="S183" s="2"/>
      <c r="AL183" s="2"/>
    </row>
    <row r="184" spans="19:38" x14ac:dyDescent="0.2">
      <c r="S184" s="2"/>
    </row>
    <row r="185" spans="19:38" x14ac:dyDescent="0.2">
      <c r="S185" s="2"/>
    </row>
    <row r="186" spans="19:38" x14ac:dyDescent="0.2">
      <c r="S186" s="2"/>
    </row>
    <row r="187" spans="19:38" x14ac:dyDescent="0.2">
      <c r="S187" s="2"/>
    </row>
    <row r="188" spans="19:38" x14ac:dyDescent="0.2">
      <c r="S188" s="2"/>
    </row>
    <row r="189" spans="19:38" x14ac:dyDescent="0.2">
      <c r="S189" s="2"/>
    </row>
    <row r="190" spans="19:38" x14ac:dyDescent="0.2">
      <c r="S190" s="2"/>
    </row>
    <row r="191" spans="19:38" x14ac:dyDescent="0.2">
      <c r="S191" s="2"/>
    </row>
    <row r="192" spans="19:38" x14ac:dyDescent="0.2">
      <c r="S192" s="2"/>
    </row>
    <row r="193" spans="19:19" x14ac:dyDescent="0.2">
      <c r="S193" s="2"/>
    </row>
    <row r="194" spans="19:19" x14ac:dyDescent="0.2">
      <c r="S194" s="2"/>
    </row>
    <row r="195" spans="19:19" x14ac:dyDescent="0.2">
      <c r="S195" s="2"/>
    </row>
    <row r="196" spans="19:19" x14ac:dyDescent="0.2">
      <c r="S196" s="2"/>
    </row>
    <row r="197" spans="19:19" x14ac:dyDescent="0.2">
      <c r="S197" s="2"/>
    </row>
    <row r="198" spans="19:19" x14ac:dyDescent="0.2">
      <c r="S198" s="2"/>
    </row>
    <row r="199" spans="19:19" x14ac:dyDescent="0.2">
      <c r="S199" s="2"/>
    </row>
    <row r="200" spans="19:19" x14ac:dyDescent="0.2">
      <c r="S200" s="2"/>
    </row>
    <row r="201" spans="19:19" x14ac:dyDescent="0.2">
      <c r="S201" s="2"/>
    </row>
    <row r="202" spans="19:19" x14ac:dyDescent="0.2">
      <c r="S202" s="2"/>
    </row>
    <row r="203" spans="19:19" x14ac:dyDescent="0.2">
      <c r="S203" s="2"/>
    </row>
    <row r="204" spans="19:19" x14ac:dyDescent="0.2">
      <c r="S204" s="2"/>
    </row>
    <row r="205" spans="19:19" x14ac:dyDescent="0.2">
      <c r="S205" s="2"/>
    </row>
    <row r="206" spans="19:19" x14ac:dyDescent="0.2">
      <c r="S206" s="2"/>
    </row>
    <row r="207" spans="19:19" x14ac:dyDescent="0.2">
      <c r="S207" s="2"/>
    </row>
    <row r="208" spans="19:19" x14ac:dyDescent="0.2">
      <c r="S208" s="2"/>
    </row>
    <row r="209" spans="19:19" x14ac:dyDescent="0.2">
      <c r="S209" s="2"/>
    </row>
    <row r="210" spans="19:19" x14ac:dyDescent="0.2">
      <c r="S210" s="2"/>
    </row>
    <row r="211" spans="19:19" x14ac:dyDescent="0.2">
      <c r="S211" s="2"/>
    </row>
    <row r="212" spans="19:19" x14ac:dyDescent="0.2">
      <c r="S212" s="2"/>
    </row>
    <row r="213" spans="19:19" x14ac:dyDescent="0.2">
      <c r="S213" s="2"/>
    </row>
    <row r="214" spans="19:19" x14ac:dyDescent="0.2">
      <c r="S214" s="2"/>
    </row>
    <row r="215" spans="19:19" x14ac:dyDescent="0.2">
      <c r="S215" s="2"/>
    </row>
    <row r="216" spans="19:19" x14ac:dyDescent="0.2">
      <c r="S216" s="2"/>
    </row>
    <row r="217" spans="19:19" x14ac:dyDescent="0.2">
      <c r="S217" s="2"/>
    </row>
    <row r="218" spans="19:19" x14ac:dyDescent="0.2">
      <c r="S218" s="2"/>
    </row>
    <row r="219" spans="19:19" x14ac:dyDescent="0.2">
      <c r="S219" s="2"/>
    </row>
    <row r="220" spans="19:19" x14ac:dyDescent="0.2">
      <c r="S220" s="2"/>
    </row>
    <row r="221" spans="19:19" x14ac:dyDescent="0.2">
      <c r="S221" s="2"/>
    </row>
    <row r="222" spans="19:19" x14ac:dyDescent="0.2">
      <c r="S222" s="2"/>
    </row>
    <row r="223" spans="19:19" x14ac:dyDescent="0.2">
      <c r="S223" s="2"/>
    </row>
    <row r="224" spans="19:19" x14ac:dyDescent="0.2">
      <c r="S224" s="2"/>
    </row>
    <row r="225" spans="19:19" x14ac:dyDescent="0.2">
      <c r="S225" s="2"/>
    </row>
    <row r="226" spans="19:19" x14ac:dyDescent="0.2">
      <c r="S226" s="2"/>
    </row>
    <row r="227" spans="19:19" x14ac:dyDescent="0.2">
      <c r="S227" s="2"/>
    </row>
    <row r="228" spans="19:19" x14ac:dyDescent="0.2">
      <c r="S228" s="2"/>
    </row>
    <row r="229" spans="19:19" x14ac:dyDescent="0.2">
      <c r="S229" s="2"/>
    </row>
    <row r="230" spans="19:19" x14ac:dyDescent="0.2">
      <c r="S230" s="2"/>
    </row>
    <row r="231" spans="19:19" x14ac:dyDescent="0.2">
      <c r="S231" s="2"/>
    </row>
    <row r="232" spans="19:19" x14ac:dyDescent="0.2">
      <c r="S232" s="2"/>
    </row>
    <row r="233" spans="19:19" x14ac:dyDescent="0.2">
      <c r="S233" s="2"/>
    </row>
    <row r="234" spans="19:19" x14ac:dyDescent="0.2">
      <c r="S234" s="2"/>
    </row>
    <row r="235" spans="19:19" x14ac:dyDescent="0.2">
      <c r="S235" s="2"/>
    </row>
    <row r="236" spans="19:19" x14ac:dyDescent="0.2">
      <c r="S236" s="2"/>
    </row>
    <row r="237" spans="19:19" x14ac:dyDescent="0.2">
      <c r="S237" s="2"/>
    </row>
    <row r="238" spans="19:19" x14ac:dyDescent="0.2">
      <c r="S238" s="2"/>
    </row>
    <row r="239" spans="19:19" x14ac:dyDescent="0.2">
      <c r="S239" s="2"/>
    </row>
    <row r="240" spans="19:19" x14ac:dyDescent="0.2">
      <c r="S240" s="2"/>
    </row>
    <row r="241" spans="19:19" x14ac:dyDescent="0.2">
      <c r="S241" s="2"/>
    </row>
    <row r="242" spans="19:19" x14ac:dyDescent="0.2">
      <c r="S242" s="2"/>
    </row>
    <row r="243" spans="19:19" x14ac:dyDescent="0.2">
      <c r="S243" s="2"/>
    </row>
    <row r="244" spans="19:19" x14ac:dyDescent="0.2">
      <c r="S244" s="2"/>
    </row>
    <row r="245" spans="19:19" x14ac:dyDescent="0.2">
      <c r="S245" s="2"/>
    </row>
    <row r="246" spans="19:19" x14ac:dyDescent="0.2">
      <c r="S246" s="2"/>
    </row>
    <row r="247" spans="19:19" x14ac:dyDescent="0.2">
      <c r="S247" s="2"/>
    </row>
    <row r="248" spans="19:19" x14ac:dyDescent="0.2">
      <c r="S248" s="2"/>
    </row>
    <row r="249" spans="19:19" x14ac:dyDescent="0.2">
      <c r="S249" s="2"/>
    </row>
    <row r="250" spans="19:19" x14ac:dyDescent="0.2">
      <c r="S250" s="2"/>
    </row>
    <row r="251" spans="19:19" x14ac:dyDescent="0.2">
      <c r="S251" s="2"/>
    </row>
    <row r="252" spans="19:19" x14ac:dyDescent="0.2">
      <c r="S252" s="2"/>
    </row>
    <row r="253" spans="19:19" x14ac:dyDescent="0.2">
      <c r="S253" s="2"/>
    </row>
    <row r="254" spans="19:19" x14ac:dyDescent="0.2">
      <c r="S254" s="2"/>
    </row>
    <row r="255" spans="19:19" x14ac:dyDescent="0.2">
      <c r="S255" s="2"/>
    </row>
    <row r="256" spans="19:19" x14ac:dyDescent="0.2">
      <c r="S256" s="2"/>
    </row>
    <row r="257" spans="19:19" x14ac:dyDescent="0.2">
      <c r="S257" s="2"/>
    </row>
    <row r="258" spans="19:19" x14ac:dyDescent="0.2">
      <c r="S258" s="2"/>
    </row>
    <row r="259" spans="19:19" x14ac:dyDescent="0.2">
      <c r="S259" s="2"/>
    </row>
    <row r="260" spans="19:19" x14ac:dyDescent="0.2">
      <c r="S260" s="2"/>
    </row>
    <row r="261" spans="19:19" x14ac:dyDescent="0.2">
      <c r="S261" s="2"/>
    </row>
  </sheetData>
  <mergeCells count="10">
    <mergeCell ref="U47:U48"/>
    <mergeCell ref="B2:U2"/>
    <mergeCell ref="M4:O4"/>
    <mergeCell ref="M9:N9"/>
    <mergeCell ref="M46:Q46"/>
    <mergeCell ref="M19:O19"/>
    <mergeCell ref="B4:L4"/>
    <mergeCell ref="M34:N34"/>
    <mergeCell ref="S4:T4"/>
    <mergeCell ref="M24:N2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610A-A285-6441-B6B9-E8BDDD21941E}">
  <dimension ref="B1:AC200"/>
  <sheetViews>
    <sheetView topLeftCell="O4" zoomScaleNormal="100" workbookViewId="0">
      <selection activeCell="V10" sqref="V10:V30"/>
    </sheetView>
  </sheetViews>
  <sheetFormatPr baseColWidth="10" defaultColWidth="11" defaultRowHeight="16" x14ac:dyDescent="0.2"/>
  <cols>
    <col min="1" max="1" width="4.5" customWidth="1"/>
    <col min="2" max="3" width="13.83203125" customWidth="1"/>
    <col min="4" max="5" width="12.5" customWidth="1"/>
    <col min="6" max="6" width="13" customWidth="1"/>
    <col min="7" max="7" width="24.1640625" customWidth="1"/>
    <col min="8" max="8" width="13.33203125" bestFit="1" customWidth="1"/>
    <col min="9" max="9" width="17.33203125" customWidth="1"/>
    <col min="10" max="10" width="13.5" customWidth="1"/>
    <col min="11" max="12" width="15.83203125" customWidth="1"/>
    <col min="13" max="13" width="5.83203125" customWidth="1"/>
    <col min="14" max="15" width="28" bestFit="1" customWidth="1"/>
    <col min="16" max="16" width="22.33203125" bestFit="1" customWidth="1"/>
    <col min="17" max="17" width="3.83203125" customWidth="1"/>
    <col min="18" max="18" width="22" bestFit="1" customWidth="1"/>
    <col min="19" max="19" width="22.83203125" bestFit="1" customWidth="1"/>
    <col min="20" max="20" width="19" customWidth="1"/>
    <col min="21" max="21" width="11.6640625" customWidth="1"/>
    <col min="22" max="22" width="28.33203125" bestFit="1" customWidth="1"/>
  </cols>
  <sheetData>
    <row r="1" spans="2:28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2:28" x14ac:dyDescent="0.2">
      <c r="B2" s="55" t="s">
        <v>153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6"/>
    </row>
    <row r="3" spans="2:28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6"/>
      <c r="P3" s="6"/>
      <c r="Q3" s="6"/>
      <c r="R3" s="6"/>
      <c r="S3" s="5"/>
      <c r="T3" s="5"/>
      <c r="U3" s="5"/>
      <c r="V3" s="5"/>
    </row>
    <row r="4" spans="2:28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25"/>
      <c r="N4" s="49" t="s">
        <v>36</v>
      </c>
      <c r="O4" s="49"/>
      <c r="P4" s="49"/>
      <c r="Q4" s="6"/>
      <c r="R4" s="23" t="s">
        <v>30</v>
      </c>
      <c r="S4" s="23" t="s">
        <v>34</v>
      </c>
      <c r="T4" s="51" t="s">
        <v>173</v>
      </c>
      <c r="U4" s="51"/>
      <c r="V4" s="13" t="s">
        <v>174</v>
      </c>
      <c r="X4" s="17"/>
      <c r="Y4" s="17"/>
    </row>
    <row r="5" spans="2:28" x14ac:dyDescent="0.2">
      <c r="B5" s="5" t="s">
        <v>0</v>
      </c>
      <c r="C5" s="5" t="s">
        <v>133</v>
      </c>
      <c r="D5" s="5" t="s">
        <v>136</v>
      </c>
      <c r="E5" s="5" t="s">
        <v>130</v>
      </c>
      <c r="F5" s="5" t="s">
        <v>5</v>
      </c>
      <c r="G5" s="5" t="s">
        <v>6</v>
      </c>
      <c r="H5" s="5" t="s">
        <v>7</v>
      </c>
      <c r="I5" s="5" t="s">
        <v>131</v>
      </c>
      <c r="J5" s="5" t="s">
        <v>66</v>
      </c>
      <c r="K5" s="5" t="s">
        <v>67</v>
      </c>
      <c r="L5" s="5" t="s">
        <v>68</v>
      </c>
      <c r="M5" s="5"/>
      <c r="N5" s="9" t="s">
        <v>138</v>
      </c>
      <c r="O5" s="9" t="s">
        <v>10</v>
      </c>
      <c r="P5" s="9" t="s">
        <v>11</v>
      </c>
      <c r="Q5" s="5"/>
      <c r="T5" s="17" t="s">
        <v>31</v>
      </c>
      <c r="U5" s="17" t="s">
        <v>32</v>
      </c>
      <c r="V5" s="17"/>
      <c r="W5" s="19"/>
      <c r="X5" s="18" t="s">
        <v>194</v>
      </c>
      <c r="Y5" s="19"/>
    </row>
    <row r="6" spans="2:28" x14ac:dyDescent="0.2">
      <c r="B6" s="30">
        <v>0.01</v>
      </c>
      <c r="C6" s="30">
        <v>1E-3</v>
      </c>
      <c r="D6" s="30">
        <v>2</v>
      </c>
      <c r="E6" s="30">
        <v>0.48531079999999999</v>
      </c>
      <c r="F6" s="30" t="s">
        <v>113</v>
      </c>
      <c r="G6" s="30">
        <v>0</v>
      </c>
      <c r="H6" s="30" t="s">
        <v>113</v>
      </c>
      <c r="I6" s="30">
        <v>9.3938880000000002E-2</v>
      </c>
      <c r="J6" s="31" t="s">
        <v>134</v>
      </c>
      <c r="K6" s="30">
        <v>0</v>
      </c>
      <c r="L6" s="31" t="s">
        <v>134</v>
      </c>
      <c r="M6" s="5"/>
      <c r="N6" s="9" t="s">
        <v>8</v>
      </c>
      <c r="O6" s="10">
        <v>29</v>
      </c>
      <c r="P6" s="10">
        <v>25</v>
      </c>
      <c r="Q6" s="5"/>
      <c r="R6" s="22" t="s">
        <v>29</v>
      </c>
      <c r="T6">
        <v>100</v>
      </c>
      <c r="U6">
        <v>100</v>
      </c>
      <c r="V6" s="8">
        <v>1.6882695999999999E-2</v>
      </c>
      <c r="W6" s="19"/>
      <c r="Y6" s="19"/>
    </row>
    <row r="7" spans="2:28" x14ac:dyDescent="0.2">
      <c r="B7" s="30">
        <v>0.01</v>
      </c>
      <c r="C7" s="30">
        <v>1E-3</v>
      </c>
      <c r="D7" s="30">
        <v>4</v>
      </c>
      <c r="E7" s="30">
        <v>0.2026174</v>
      </c>
      <c r="F7" s="30" t="s">
        <v>113</v>
      </c>
      <c r="G7" s="30">
        <v>0</v>
      </c>
      <c r="H7" s="30" t="s">
        <v>113</v>
      </c>
      <c r="I7" s="30">
        <v>0.18544763</v>
      </c>
      <c r="J7" s="31" t="s">
        <v>134</v>
      </c>
      <c r="K7" s="30">
        <v>0</v>
      </c>
      <c r="L7" s="31" t="s">
        <v>134</v>
      </c>
      <c r="M7" s="5"/>
      <c r="N7" s="9" t="s">
        <v>9</v>
      </c>
      <c r="O7" s="10">
        <v>7</v>
      </c>
      <c r="P7" s="10">
        <v>124</v>
      </c>
      <c r="Q7" s="6"/>
      <c r="R7" s="22" t="s">
        <v>78</v>
      </c>
      <c r="T7">
        <v>62.447786000000001</v>
      </c>
      <c r="U7">
        <v>62.447786000000001</v>
      </c>
      <c r="V7" s="8">
        <v>2.8706811499999998E-2</v>
      </c>
      <c r="W7" s="19"/>
      <c r="X7" s="19"/>
      <c r="Y7" s="19"/>
    </row>
    <row r="8" spans="2:28" x14ac:dyDescent="0.2">
      <c r="B8" s="30">
        <v>0.01</v>
      </c>
      <c r="C8" s="30">
        <v>1E-3</v>
      </c>
      <c r="D8" s="30">
        <v>8</v>
      </c>
      <c r="E8" s="30">
        <v>0.48760520000000002</v>
      </c>
      <c r="F8" s="30">
        <v>0.19452510000000001</v>
      </c>
      <c r="G8" s="30">
        <v>1</v>
      </c>
      <c r="H8" s="30">
        <v>0.3256038</v>
      </c>
      <c r="I8" s="30">
        <v>9.2827950000000006E-2</v>
      </c>
      <c r="J8" s="30">
        <v>9.0144270000000002E-3</v>
      </c>
      <c r="K8" s="30">
        <v>0</v>
      </c>
      <c r="L8" s="30">
        <v>1.2506339999999999E-2</v>
      </c>
      <c r="M8" s="5"/>
      <c r="N8" s="5"/>
      <c r="O8" s="5"/>
      <c r="P8" s="5"/>
      <c r="Q8" s="5"/>
      <c r="R8" s="22" t="s">
        <v>79</v>
      </c>
      <c r="T8">
        <v>70.634921000000006</v>
      </c>
      <c r="U8">
        <v>70.634921000000006</v>
      </c>
      <c r="V8" s="8">
        <v>2.8372718599999999E-2</v>
      </c>
      <c r="W8" s="19"/>
      <c r="X8" s="19"/>
      <c r="Y8" s="19"/>
    </row>
    <row r="9" spans="2:28" x14ac:dyDescent="0.2">
      <c r="B9" s="30">
        <v>0.1</v>
      </c>
      <c r="C9" s="30">
        <v>1E-3</v>
      </c>
      <c r="D9" s="30">
        <v>2</v>
      </c>
      <c r="E9" s="30">
        <v>0.48906149999999998</v>
      </c>
      <c r="F9" s="30" t="s">
        <v>113</v>
      </c>
      <c r="G9" s="30">
        <v>0</v>
      </c>
      <c r="H9" s="30" t="s">
        <v>113</v>
      </c>
      <c r="I9" s="30">
        <v>9.1706819999999994E-2</v>
      </c>
      <c r="J9" s="31" t="s">
        <v>134</v>
      </c>
      <c r="K9" s="30">
        <v>0</v>
      </c>
      <c r="L9" s="31" t="s">
        <v>134</v>
      </c>
      <c r="M9" s="5"/>
      <c r="N9" s="51" t="s">
        <v>70</v>
      </c>
      <c r="O9" s="51"/>
      <c r="P9" s="5" t="s">
        <v>37</v>
      </c>
      <c r="Q9" s="5"/>
      <c r="R9" s="22" t="s">
        <v>80</v>
      </c>
      <c r="T9">
        <v>69.507101000000006</v>
      </c>
      <c r="U9">
        <v>69.507101000000006</v>
      </c>
      <c r="V9" s="8">
        <v>-2.3344252999999999E-3</v>
      </c>
      <c r="W9" s="19"/>
      <c r="X9" s="19"/>
      <c r="Y9" s="19"/>
    </row>
    <row r="10" spans="2:28" x14ac:dyDescent="0.2">
      <c r="B10" s="30">
        <v>0.1</v>
      </c>
      <c r="C10" s="30">
        <v>1E-3</v>
      </c>
      <c r="D10" s="30">
        <v>4</v>
      </c>
      <c r="E10" s="30">
        <v>0.51420560000000004</v>
      </c>
      <c r="F10" s="30" t="s">
        <v>113</v>
      </c>
      <c r="G10" s="30">
        <v>0</v>
      </c>
      <c r="H10" s="30" t="s">
        <v>113</v>
      </c>
      <c r="I10" s="30">
        <v>8.1314919999999999E-2</v>
      </c>
      <c r="J10" s="31" t="s">
        <v>134</v>
      </c>
      <c r="K10" s="30">
        <v>0</v>
      </c>
      <c r="L10" s="31" t="s">
        <v>134</v>
      </c>
      <c r="M10" s="5"/>
      <c r="N10" s="5" t="s">
        <v>22</v>
      </c>
      <c r="O10" s="5">
        <v>0.80559999999999998</v>
      </c>
      <c r="P10" s="5"/>
      <c r="Q10" s="5"/>
      <c r="R10" s="22" t="s">
        <v>81</v>
      </c>
      <c r="T10">
        <v>66.583123999999998</v>
      </c>
      <c r="U10">
        <v>66.583123999999998</v>
      </c>
      <c r="V10" s="58">
        <v>1.33384678E-2</v>
      </c>
      <c r="W10" s="19"/>
      <c r="X10" s="19"/>
      <c r="Y10" s="19"/>
    </row>
    <row r="11" spans="2:28" x14ac:dyDescent="0.2">
      <c r="B11" s="30">
        <v>0.1</v>
      </c>
      <c r="C11" s="30">
        <v>1E-3</v>
      </c>
      <c r="D11" s="30">
        <v>8</v>
      </c>
      <c r="E11" s="30">
        <v>0.49090260000000002</v>
      </c>
      <c r="F11" s="30">
        <v>0.19452510000000001</v>
      </c>
      <c r="G11" s="30">
        <v>1</v>
      </c>
      <c r="H11" s="30">
        <v>0.3256038</v>
      </c>
      <c r="I11" s="30">
        <v>8.8317770000000004E-2</v>
      </c>
      <c r="J11" s="30">
        <v>9.0144270000000002E-3</v>
      </c>
      <c r="K11" s="30">
        <v>0</v>
      </c>
      <c r="L11" s="30">
        <v>1.2506339999999999E-2</v>
      </c>
      <c r="M11" s="5"/>
      <c r="N11" s="5" t="s">
        <v>21</v>
      </c>
      <c r="O11" s="5">
        <v>0.83220000000000005</v>
      </c>
      <c r="P11" s="5"/>
      <c r="Q11" s="5"/>
      <c r="R11" s="22" t="s">
        <v>82</v>
      </c>
      <c r="T11">
        <v>41.436926</v>
      </c>
      <c r="U11">
        <v>41.436926</v>
      </c>
      <c r="V11" s="58">
        <v>6.4277804999999999E-3</v>
      </c>
      <c r="W11" s="19"/>
      <c r="X11" s="19"/>
      <c r="Y11" s="19"/>
    </row>
    <row r="12" spans="2:28" x14ac:dyDescent="0.2">
      <c r="B12" s="30">
        <v>0.5</v>
      </c>
      <c r="C12" s="30">
        <v>1E-3</v>
      </c>
      <c r="D12" s="30">
        <v>2</v>
      </c>
      <c r="E12" s="30">
        <v>0.48732750000000002</v>
      </c>
      <c r="F12" s="30" t="s">
        <v>113</v>
      </c>
      <c r="G12" s="30">
        <v>0</v>
      </c>
      <c r="H12" s="30" t="s">
        <v>113</v>
      </c>
      <c r="I12" s="30">
        <v>9.1732229999999998E-2</v>
      </c>
      <c r="J12" s="31" t="s">
        <v>134</v>
      </c>
      <c r="K12" s="30">
        <v>0</v>
      </c>
      <c r="L12" s="31" t="s">
        <v>134</v>
      </c>
      <c r="M12" s="5"/>
      <c r="N12" s="5" t="s">
        <v>20</v>
      </c>
      <c r="O12" s="5">
        <v>0.53700000000000003</v>
      </c>
      <c r="P12" s="5"/>
      <c r="Q12" s="5"/>
      <c r="R12" s="22" t="s">
        <v>83</v>
      </c>
      <c r="T12">
        <v>52.172097000000001</v>
      </c>
      <c r="U12">
        <v>52.172097000000001</v>
      </c>
      <c r="V12" s="58">
        <v>8.8302775000000007E-3</v>
      </c>
      <c r="W12" s="19"/>
      <c r="X12" s="19"/>
      <c r="Y12" s="19"/>
    </row>
    <row r="13" spans="2:28" x14ac:dyDescent="0.2">
      <c r="B13" s="30">
        <v>0.5</v>
      </c>
      <c r="C13" s="30">
        <v>1E-3</v>
      </c>
      <c r="D13" s="30">
        <v>4</v>
      </c>
      <c r="E13" s="30">
        <v>0.51144959999999995</v>
      </c>
      <c r="F13" s="30">
        <v>0.57084250000000003</v>
      </c>
      <c r="G13" s="30">
        <v>0.57499999999999996</v>
      </c>
      <c r="H13" s="30">
        <v>0.55341499999999999</v>
      </c>
      <c r="I13" s="30">
        <v>8.7692370000000006E-2</v>
      </c>
      <c r="J13" s="30">
        <v>0.16707998399999999</v>
      </c>
      <c r="K13" s="30">
        <v>0.17104681999999999</v>
      </c>
      <c r="L13" s="30">
        <v>0.12311255</v>
      </c>
      <c r="M13" s="5"/>
      <c r="N13" s="5" t="s">
        <v>19</v>
      </c>
      <c r="O13" s="5">
        <v>0.9466</v>
      </c>
      <c r="P13" s="5"/>
      <c r="Q13" s="5"/>
      <c r="R13" s="22" t="s">
        <v>84</v>
      </c>
      <c r="T13">
        <v>53.592314000000002</v>
      </c>
      <c r="U13">
        <v>53.592314000000002</v>
      </c>
      <c r="V13" s="58">
        <v>3.0230165900000001E-2</v>
      </c>
      <c r="W13" s="19"/>
      <c r="X13" s="19"/>
      <c r="Y13" s="19"/>
      <c r="AA13" s="2"/>
      <c r="AB13" s="8"/>
    </row>
    <row r="14" spans="2:28" x14ac:dyDescent="0.2">
      <c r="B14" s="30">
        <v>0.5</v>
      </c>
      <c r="C14" s="30">
        <v>1E-3</v>
      </c>
      <c r="D14" s="30">
        <v>8</v>
      </c>
      <c r="E14" s="30">
        <v>0.49018479999999998</v>
      </c>
      <c r="F14" s="30">
        <v>0.1958125</v>
      </c>
      <c r="G14" s="30">
        <v>0.99428571399999999</v>
      </c>
      <c r="H14" s="30">
        <v>0.32706269999999998</v>
      </c>
      <c r="I14" s="30">
        <v>8.9635370000000006E-2</v>
      </c>
      <c r="J14" s="30">
        <v>1.1287152999999999E-2</v>
      </c>
      <c r="K14" s="30">
        <v>2.8571429999999998E-2</v>
      </c>
      <c r="L14" s="30">
        <v>1.622444E-2</v>
      </c>
      <c r="M14" s="5"/>
      <c r="N14" s="5" t="s">
        <v>18</v>
      </c>
      <c r="O14" s="5">
        <v>0.82699999999999996</v>
      </c>
      <c r="P14" s="5"/>
      <c r="Q14" s="5"/>
      <c r="R14" s="22" t="s">
        <v>85</v>
      </c>
      <c r="T14">
        <v>49.749372999999999</v>
      </c>
      <c r="U14">
        <v>49.749372999999999</v>
      </c>
      <c r="V14" s="58">
        <v>1.7303897200000001E-2</v>
      </c>
      <c r="W14" s="19"/>
      <c r="X14" s="19"/>
      <c r="Y14" s="19"/>
      <c r="AA14" s="2"/>
      <c r="AB14" s="8"/>
    </row>
    <row r="15" spans="2:28" x14ac:dyDescent="0.2">
      <c r="B15" s="30">
        <v>1</v>
      </c>
      <c r="C15" s="30">
        <v>1E-3</v>
      </c>
      <c r="D15" s="30">
        <v>2</v>
      </c>
      <c r="E15" s="30">
        <v>0.48733549999999998</v>
      </c>
      <c r="F15" s="30">
        <v>1</v>
      </c>
      <c r="G15" s="30">
        <v>5.7142859999999998E-3</v>
      </c>
      <c r="H15" s="30">
        <v>0.25</v>
      </c>
      <c r="I15" s="30">
        <v>9.2003299999999996E-2</v>
      </c>
      <c r="J15" s="31" t="s">
        <v>134</v>
      </c>
      <c r="K15" s="30">
        <v>2.8571429999999998E-2</v>
      </c>
      <c r="L15" s="31" t="s">
        <v>134</v>
      </c>
      <c r="M15" s="5"/>
      <c r="N15" s="5" t="s">
        <v>17</v>
      </c>
      <c r="O15" s="5">
        <v>0.64439999999999997</v>
      </c>
      <c r="P15" s="5"/>
      <c r="Q15" s="5"/>
      <c r="R15" s="22" t="s">
        <v>86</v>
      </c>
      <c r="T15">
        <v>49.081035999999997</v>
      </c>
      <c r="U15">
        <v>49.081035999999997</v>
      </c>
      <c r="V15" s="58">
        <v>3.6759102100000003E-2</v>
      </c>
      <c r="W15" s="19"/>
      <c r="X15" s="19"/>
      <c r="Y15" s="19"/>
      <c r="AA15" s="2"/>
      <c r="AB15" s="8"/>
    </row>
    <row r="16" spans="2:28" x14ac:dyDescent="0.2">
      <c r="B16" s="30">
        <v>1</v>
      </c>
      <c r="C16" s="30">
        <v>1E-3</v>
      </c>
      <c r="D16" s="30">
        <v>4</v>
      </c>
      <c r="E16" s="30">
        <v>0.49534129999999998</v>
      </c>
      <c r="F16" s="30">
        <v>0.48598360000000002</v>
      </c>
      <c r="G16" s="30">
        <v>0.74357142899999995</v>
      </c>
      <c r="H16" s="30">
        <v>0.58023720000000001</v>
      </c>
      <c r="I16" s="30">
        <v>9.1024720000000003E-2</v>
      </c>
      <c r="J16" s="30">
        <v>9.3272716000000006E-2</v>
      </c>
      <c r="K16" s="30">
        <v>0.16631127000000001</v>
      </c>
      <c r="L16" s="30">
        <v>0.10400513</v>
      </c>
      <c r="M16" s="5"/>
      <c r="N16" s="5" t="s">
        <v>28</v>
      </c>
      <c r="O16" s="5">
        <v>0.5554</v>
      </c>
      <c r="P16" s="5"/>
      <c r="Q16" s="5"/>
      <c r="R16" s="22" t="s">
        <v>87</v>
      </c>
      <c r="T16">
        <v>40.643275000000003</v>
      </c>
      <c r="U16">
        <v>40.643275000000003</v>
      </c>
      <c r="V16" s="58">
        <v>2.21125008E-2</v>
      </c>
      <c r="W16" s="19"/>
      <c r="X16" s="20"/>
      <c r="Y16" s="19"/>
      <c r="AA16" s="2"/>
      <c r="AB16" s="8"/>
    </row>
    <row r="17" spans="2:29" x14ac:dyDescent="0.2">
      <c r="B17" s="30">
        <v>1</v>
      </c>
      <c r="C17" s="30">
        <v>1E-3</v>
      </c>
      <c r="D17" s="30">
        <v>8</v>
      </c>
      <c r="E17" s="30">
        <v>0.48806359999999999</v>
      </c>
      <c r="F17" s="30">
        <v>0.24798010000000001</v>
      </c>
      <c r="G17" s="30">
        <v>0.91714285699999998</v>
      </c>
      <c r="H17" s="30">
        <v>0.38908930000000003</v>
      </c>
      <c r="I17" s="30">
        <v>8.6909819999999999E-2</v>
      </c>
      <c r="J17" s="30">
        <v>3.5129453999999997E-2</v>
      </c>
      <c r="K17" s="30">
        <v>0.10588046</v>
      </c>
      <c r="L17" s="30">
        <v>4.7275499999999998E-2</v>
      </c>
      <c r="M17" s="5"/>
      <c r="N17" s="5" t="s">
        <v>33</v>
      </c>
      <c r="O17" s="5">
        <v>0.81889999999999996</v>
      </c>
      <c r="P17" s="5"/>
      <c r="Q17" s="5"/>
      <c r="R17" s="22" t="s">
        <v>88</v>
      </c>
      <c r="T17">
        <v>41.645780999999999</v>
      </c>
      <c r="U17">
        <v>41.645780999999999</v>
      </c>
      <c r="V17" s="58">
        <v>2.1004403899999999E-2</v>
      </c>
      <c r="W17" s="19"/>
      <c r="X17" s="20"/>
      <c r="Y17" s="19"/>
      <c r="AA17" s="2"/>
      <c r="AB17" s="8"/>
    </row>
    <row r="18" spans="2:29" x14ac:dyDescent="0.2">
      <c r="B18" s="30">
        <v>2</v>
      </c>
      <c r="C18" s="30">
        <v>1E-3</v>
      </c>
      <c r="D18" s="30">
        <v>2</v>
      </c>
      <c r="E18" s="30">
        <v>0.48647030000000002</v>
      </c>
      <c r="F18" s="30">
        <v>0.80555560000000004</v>
      </c>
      <c r="G18" s="30">
        <v>0.15214285699999999</v>
      </c>
      <c r="H18" s="30">
        <v>0.36666670000000001</v>
      </c>
      <c r="I18" s="30">
        <v>9.53209E-2</v>
      </c>
      <c r="J18" s="30">
        <v>0.33455657900000002</v>
      </c>
      <c r="K18" s="30">
        <v>0.13512560000000001</v>
      </c>
      <c r="L18" s="30">
        <v>0.11114814000000001</v>
      </c>
      <c r="M18" s="5"/>
      <c r="N18" s="5"/>
      <c r="O18" s="5"/>
      <c r="P18" s="5"/>
      <c r="Q18" s="5"/>
      <c r="R18" s="22" t="s">
        <v>122</v>
      </c>
      <c r="V18" s="58">
        <v>2.3749683800000001E-2</v>
      </c>
      <c r="W18" s="19"/>
      <c r="X18" s="20"/>
      <c r="Y18" s="19"/>
      <c r="AA18" s="2"/>
      <c r="AB18" s="8"/>
    </row>
    <row r="19" spans="2:29" x14ac:dyDescent="0.2">
      <c r="B19" s="30">
        <v>2</v>
      </c>
      <c r="C19" s="30">
        <v>1E-3</v>
      </c>
      <c r="D19" s="30">
        <v>4</v>
      </c>
      <c r="E19" s="30">
        <v>0.47204020000000002</v>
      </c>
      <c r="F19" s="30">
        <v>0.45901730000000002</v>
      </c>
      <c r="G19" s="30">
        <v>0.70928571399999996</v>
      </c>
      <c r="H19" s="30">
        <v>0.54961009999999999</v>
      </c>
      <c r="I19" s="30">
        <v>8.3014710000000005E-2</v>
      </c>
      <c r="J19" s="30">
        <v>9.4776418000000001E-2</v>
      </c>
      <c r="K19" s="30">
        <v>0.16378677</v>
      </c>
      <c r="L19" s="30">
        <v>0.10339336</v>
      </c>
      <c r="M19" s="5"/>
      <c r="N19" s="49" t="s">
        <v>35</v>
      </c>
      <c r="O19" s="49"/>
      <c r="P19" s="49"/>
      <c r="Q19" s="5"/>
      <c r="R19" s="22" t="s">
        <v>89</v>
      </c>
      <c r="T19">
        <v>55.096074000000002</v>
      </c>
      <c r="U19">
        <v>55.096074000000002</v>
      </c>
      <c r="V19" s="62"/>
      <c r="W19" s="19"/>
      <c r="X19" s="20"/>
      <c r="Y19" s="19"/>
      <c r="AA19" s="2"/>
      <c r="AB19" s="8"/>
    </row>
    <row r="20" spans="2:29" x14ac:dyDescent="0.2">
      <c r="B20" s="30">
        <v>2</v>
      </c>
      <c r="C20" s="30">
        <v>1E-3</v>
      </c>
      <c r="D20" s="30">
        <v>8</v>
      </c>
      <c r="E20" s="30">
        <v>0.47554930000000001</v>
      </c>
      <c r="F20" s="30">
        <v>0.34124490000000002</v>
      </c>
      <c r="G20" s="30">
        <v>0.84428571399999996</v>
      </c>
      <c r="H20" s="30">
        <v>0.48332530000000001</v>
      </c>
      <c r="I20" s="30">
        <v>9.4280600000000006E-2</v>
      </c>
      <c r="J20" s="30">
        <v>4.7533147999999997E-2</v>
      </c>
      <c r="K20" s="30">
        <v>0.12028965</v>
      </c>
      <c r="L20" s="30">
        <v>5.6547020000000003E-2</v>
      </c>
      <c r="M20" s="5"/>
      <c r="N20" s="9" t="s">
        <v>138</v>
      </c>
      <c r="O20" s="9" t="s">
        <v>10</v>
      </c>
      <c r="P20" s="9" t="s">
        <v>11</v>
      </c>
      <c r="Q20" s="5"/>
      <c r="R20" s="22" t="s">
        <v>123</v>
      </c>
      <c r="V20" s="58">
        <v>3.7769372400000001E-2</v>
      </c>
      <c r="W20" s="19"/>
      <c r="X20" s="20"/>
      <c r="Y20" s="19"/>
      <c r="AA20" s="2"/>
      <c r="AB20" s="8"/>
    </row>
    <row r="21" spans="2:29" x14ac:dyDescent="0.2">
      <c r="B21" s="30">
        <v>3</v>
      </c>
      <c r="C21" s="30">
        <v>1E-3</v>
      </c>
      <c r="D21" s="30">
        <v>2</v>
      </c>
      <c r="E21" s="30">
        <v>0.48223060000000001</v>
      </c>
      <c r="F21" s="30">
        <v>0.7019841</v>
      </c>
      <c r="G21" s="30">
        <v>0.29142857100000003</v>
      </c>
      <c r="H21" s="30">
        <v>0.42033670000000001</v>
      </c>
      <c r="I21" s="30">
        <v>9.0638919999999998E-2</v>
      </c>
      <c r="J21" s="30">
        <v>0.256895121</v>
      </c>
      <c r="K21" s="30">
        <v>0.18135625999999999</v>
      </c>
      <c r="L21" s="30">
        <v>0.16905171999999999</v>
      </c>
      <c r="M21" s="5"/>
      <c r="N21" s="9" t="s">
        <v>8</v>
      </c>
      <c r="O21" s="10">
        <v>3</v>
      </c>
      <c r="P21" s="10">
        <v>7</v>
      </c>
      <c r="Q21" s="5"/>
      <c r="R21" s="22" t="s">
        <v>90</v>
      </c>
      <c r="T21">
        <v>44.402673</v>
      </c>
      <c r="U21">
        <v>44.402673</v>
      </c>
      <c r="V21" s="62"/>
      <c r="W21" s="19"/>
      <c r="X21" s="20"/>
      <c r="Y21" s="19"/>
      <c r="AA21" s="2"/>
      <c r="AB21" s="8"/>
    </row>
    <row r="22" spans="2:29" x14ac:dyDescent="0.2">
      <c r="B22" s="30">
        <v>3</v>
      </c>
      <c r="C22" s="30">
        <v>1E-3</v>
      </c>
      <c r="D22" s="30">
        <v>4</v>
      </c>
      <c r="E22" s="30">
        <v>0.47605520000000001</v>
      </c>
      <c r="F22" s="30">
        <v>0.46116669999999998</v>
      </c>
      <c r="G22" s="30">
        <v>0.70571428599999997</v>
      </c>
      <c r="H22" s="30">
        <v>0.54807779999999995</v>
      </c>
      <c r="I22" s="30">
        <v>8.5477700000000004E-2</v>
      </c>
      <c r="J22" s="30">
        <v>9.0029522000000001E-2</v>
      </c>
      <c r="K22" s="30">
        <v>0.16768290999999999</v>
      </c>
      <c r="L22" s="30">
        <v>9.7128329999999999E-2</v>
      </c>
      <c r="M22" s="5"/>
      <c r="N22" s="9" t="s">
        <v>9</v>
      </c>
      <c r="O22" s="10">
        <v>6</v>
      </c>
      <c r="P22" s="10">
        <v>30</v>
      </c>
      <c r="Q22" s="5"/>
      <c r="R22" s="22" t="s">
        <v>91</v>
      </c>
      <c r="T22">
        <v>38.930660000000003</v>
      </c>
      <c r="U22">
        <v>38.930660000000003</v>
      </c>
      <c r="V22" s="62"/>
      <c r="W22" s="19"/>
      <c r="X22" s="20"/>
      <c r="Y22" s="19"/>
      <c r="AA22" s="2"/>
      <c r="AB22" s="8"/>
    </row>
    <row r="23" spans="2:29" x14ac:dyDescent="0.2">
      <c r="B23" s="30">
        <v>3</v>
      </c>
      <c r="C23" s="30">
        <v>1E-3</v>
      </c>
      <c r="D23" s="30">
        <v>8</v>
      </c>
      <c r="E23" s="30">
        <v>0.46025189999999999</v>
      </c>
      <c r="F23" s="30">
        <v>0.36242489999999999</v>
      </c>
      <c r="G23" s="30">
        <v>0.80428571400000004</v>
      </c>
      <c r="H23" s="30">
        <v>0.4946025</v>
      </c>
      <c r="I23" s="30">
        <v>9.0373400000000007E-2</v>
      </c>
      <c r="J23" s="30">
        <v>7.0244939000000006E-2</v>
      </c>
      <c r="K23" s="30">
        <v>0.17688789999999999</v>
      </c>
      <c r="L23" s="30">
        <v>8.5689080000000001E-2</v>
      </c>
      <c r="M23" s="5"/>
      <c r="N23" s="5"/>
      <c r="O23" s="5"/>
      <c r="P23" s="5"/>
      <c r="Q23" s="5"/>
      <c r="R23" s="22" t="s">
        <v>92</v>
      </c>
      <c r="T23">
        <v>24.519632000000001</v>
      </c>
      <c r="U23">
        <v>24.519632000000001</v>
      </c>
      <c r="V23" s="62"/>
      <c r="W23" s="19"/>
      <c r="X23" s="20"/>
      <c r="Y23" s="19"/>
      <c r="AA23" s="2"/>
      <c r="AB23" s="8"/>
    </row>
    <row r="24" spans="2:29" x14ac:dyDescent="0.2">
      <c r="B24" s="30">
        <v>4</v>
      </c>
      <c r="C24" s="30">
        <v>1E-3</v>
      </c>
      <c r="D24" s="30">
        <v>2</v>
      </c>
      <c r="E24" s="30">
        <v>0.47790830000000001</v>
      </c>
      <c r="F24" s="30">
        <v>0.66591509999999998</v>
      </c>
      <c r="G24" s="30">
        <v>0.38857142900000002</v>
      </c>
      <c r="H24" s="30">
        <v>0.49377280000000001</v>
      </c>
      <c r="I24" s="30">
        <v>9.2977729999999995E-2</v>
      </c>
      <c r="J24" s="30">
        <v>0.23483121000000001</v>
      </c>
      <c r="K24" s="30">
        <v>0.21343332000000001</v>
      </c>
      <c r="L24" s="30">
        <v>0.14808911999999999</v>
      </c>
      <c r="M24" s="5"/>
      <c r="N24" s="51" t="s">
        <v>69</v>
      </c>
      <c r="O24" s="51"/>
      <c r="P24" s="5"/>
      <c r="Q24" s="5"/>
      <c r="R24" s="22" t="s">
        <v>93</v>
      </c>
      <c r="T24">
        <v>38.053466999999998</v>
      </c>
      <c r="U24">
        <v>38.053466999999998</v>
      </c>
      <c r="V24" s="62"/>
      <c r="W24" s="19"/>
      <c r="X24" s="19"/>
      <c r="Y24" s="19"/>
      <c r="AA24" s="2"/>
      <c r="AB24" s="8"/>
    </row>
    <row r="25" spans="2:29" x14ac:dyDescent="0.2">
      <c r="B25" s="30">
        <v>4</v>
      </c>
      <c r="C25" s="30">
        <v>1E-3</v>
      </c>
      <c r="D25" s="30">
        <v>4</v>
      </c>
      <c r="E25" s="30">
        <v>0.48403580000000002</v>
      </c>
      <c r="F25" s="30">
        <v>0.4696864</v>
      </c>
      <c r="G25" s="30">
        <v>0.70071428599999996</v>
      </c>
      <c r="H25" s="30">
        <v>0.55369990000000002</v>
      </c>
      <c r="I25" s="30">
        <v>8.8832789999999995E-2</v>
      </c>
      <c r="J25" s="30">
        <v>0.10397714800000001</v>
      </c>
      <c r="K25" s="30">
        <v>0.15739631000000001</v>
      </c>
      <c r="L25" s="30">
        <v>0.10195388</v>
      </c>
      <c r="M25" s="5"/>
      <c r="N25" s="5" t="s">
        <v>22</v>
      </c>
      <c r="O25" s="5">
        <v>0.33333000000000002</v>
      </c>
      <c r="P25" s="5"/>
      <c r="Q25" s="5"/>
      <c r="R25" s="22" t="s">
        <v>124</v>
      </c>
      <c r="V25" s="58">
        <v>4.1026843299999997E-2</v>
      </c>
      <c r="W25" s="19"/>
      <c r="X25" s="19"/>
      <c r="Y25" s="19"/>
      <c r="AA25" s="2"/>
      <c r="AB25" s="8"/>
    </row>
    <row r="26" spans="2:29" x14ac:dyDescent="0.2">
      <c r="B26" s="30">
        <v>4</v>
      </c>
      <c r="C26" s="30">
        <v>1E-3</v>
      </c>
      <c r="D26" s="30">
        <v>8</v>
      </c>
      <c r="E26" s="30">
        <v>0.45488099999999998</v>
      </c>
      <c r="F26" s="30">
        <v>0.37233260000000001</v>
      </c>
      <c r="G26" s="30">
        <v>0.79928571400000004</v>
      </c>
      <c r="H26" s="30">
        <v>0.50253780000000003</v>
      </c>
      <c r="I26" s="30">
        <v>8.665428E-2</v>
      </c>
      <c r="J26" s="30">
        <v>6.8306222999999999E-2</v>
      </c>
      <c r="K26" s="30">
        <v>0.17284571000000001</v>
      </c>
      <c r="L26" s="30">
        <v>8.0989980000000003E-2</v>
      </c>
      <c r="M26" s="5"/>
      <c r="N26" s="5" t="s">
        <v>21</v>
      </c>
      <c r="O26" s="5">
        <v>0.81081000000000003</v>
      </c>
      <c r="P26" s="5"/>
      <c r="Q26" s="5"/>
      <c r="R26" s="22" t="s">
        <v>94</v>
      </c>
      <c r="T26">
        <v>2.2974100000000002</v>
      </c>
      <c r="U26">
        <v>2.2974100000000002</v>
      </c>
      <c r="V26" s="62"/>
      <c r="W26" s="19"/>
      <c r="X26" s="19"/>
      <c r="Y26" s="19"/>
      <c r="AA26" s="2"/>
      <c r="AB26" s="8"/>
    </row>
    <row r="27" spans="2:29" x14ac:dyDescent="0.2">
      <c r="B27" s="30">
        <v>5</v>
      </c>
      <c r="C27" s="30">
        <v>1E-3</v>
      </c>
      <c r="D27" s="30">
        <v>2</v>
      </c>
      <c r="E27" s="30">
        <v>0.4719719</v>
      </c>
      <c r="F27" s="30">
        <v>0.61022730000000003</v>
      </c>
      <c r="G27" s="30">
        <v>0.43214285699999999</v>
      </c>
      <c r="H27" s="30">
        <v>0.51626209999999995</v>
      </c>
      <c r="I27" s="30">
        <v>8.2276829999999995E-2</v>
      </c>
      <c r="J27" s="30">
        <v>0.20188216</v>
      </c>
      <c r="K27" s="30">
        <v>0.2107849</v>
      </c>
      <c r="L27" s="30">
        <v>0.11812437000000001</v>
      </c>
      <c r="M27" s="5"/>
      <c r="N27" s="5" t="s">
        <v>20</v>
      </c>
      <c r="O27" s="5">
        <v>0.3</v>
      </c>
      <c r="P27" s="5"/>
      <c r="Q27" s="5"/>
      <c r="R27" s="22" t="s">
        <v>95</v>
      </c>
      <c r="T27">
        <v>20.676691999999999</v>
      </c>
      <c r="U27">
        <v>20.676691999999999</v>
      </c>
      <c r="V27" s="62"/>
      <c r="W27" s="19"/>
      <c r="X27" s="19"/>
      <c r="Y27" s="19"/>
      <c r="AA27" s="2"/>
      <c r="AB27" s="8"/>
    </row>
    <row r="28" spans="2:29" x14ac:dyDescent="0.2">
      <c r="B28" s="30">
        <v>5</v>
      </c>
      <c r="C28" s="30">
        <v>1E-3</v>
      </c>
      <c r="D28" s="30">
        <v>4</v>
      </c>
      <c r="E28" s="30">
        <v>0.48101880000000002</v>
      </c>
      <c r="F28" s="30">
        <v>0.47364970000000001</v>
      </c>
      <c r="G28" s="30">
        <v>0.70071428599999996</v>
      </c>
      <c r="H28" s="30">
        <v>0.55522059999999995</v>
      </c>
      <c r="I28" s="30">
        <v>8.6027060000000002E-2</v>
      </c>
      <c r="J28" s="30">
        <v>0.10927846200000001</v>
      </c>
      <c r="K28" s="30">
        <v>0.15739631000000001</v>
      </c>
      <c r="L28" s="30">
        <v>9.9874169999999998E-2</v>
      </c>
      <c r="M28" s="5"/>
      <c r="N28" s="5" t="s">
        <v>19</v>
      </c>
      <c r="O28" s="5">
        <v>0.83333000000000002</v>
      </c>
      <c r="P28" s="5"/>
      <c r="Q28" s="5"/>
      <c r="R28" s="22" t="s">
        <v>96</v>
      </c>
      <c r="T28">
        <v>34.544694999999997</v>
      </c>
      <c r="U28">
        <v>34.544694999999997</v>
      </c>
      <c r="V28" s="62"/>
      <c r="W28" s="19"/>
      <c r="X28" s="19"/>
      <c r="Y28" s="19"/>
      <c r="AA28" s="2"/>
      <c r="AB28" s="8"/>
    </row>
    <row r="29" spans="2:29" x14ac:dyDescent="0.2">
      <c r="B29" s="30">
        <v>5</v>
      </c>
      <c r="C29" s="30">
        <v>1E-3</v>
      </c>
      <c r="D29" s="30">
        <v>8</v>
      </c>
      <c r="E29" s="30">
        <v>0.44396390000000002</v>
      </c>
      <c r="F29" s="30">
        <v>0.37619609999999998</v>
      </c>
      <c r="G29" s="30">
        <v>0.79357142899999999</v>
      </c>
      <c r="H29" s="30">
        <v>0.5052025</v>
      </c>
      <c r="I29" s="30">
        <v>8.7659760000000003E-2</v>
      </c>
      <c r="J29" s="30">
        <v>7.2645501000000001E-2</v>
      </c>
      <c r="K29" s="30">
        <v>0.16823349000000001</v>
      </c>
      <c r="L29" s="30">
        <v>8.4699330000000003E-2</v>
      </c>
      <c r="M29" s="9"/>
      <c r="N29" s="5" t="s">
        <v>18</v>
      </c>
      <c r="O29" s="5">
        <v>0.71740000000000004</v>
      </c>
      <c r="P29" s="5"/>
      <c r="Q29" s="5"/>
      <c r="R29" s="22" t="s">
        <v>97</v>
      </c>
      <c r="T29">
        <v>3.2581449999999998</v>
      </c>
      <c r="U29">
        <v>3.2581449999999998</v>
      </c>
      <c r="V29" s="62"/>
      <c r="W29" s="19"/>
      <c r="X29" s="19"/>
      <c r="Y29" s="19"/>
      <c r="AA29" s="2"/>
      <c r="AB29" s="8"/>
    </row>
    <row r="30" spans="2:29" x14ac:dyDescent="0.2">
      <c r="B30" s="30">
        <v>6</v>
      </c>
      <c r="C30" s="30">
        <v>1E-3</v>
      </c>
      <c r="D30" s="30">
        <v>2</v>
      </c>
      <c r="E30" s="30">
        <v>0.4636363</v>
      </c>
      <c r="F30" s="30">
        <v>0.61796830000000003</v>
      </c>
      <c r="G30" s="30">
        <v>0.45500000000000002</v>
      </c>
      <c r="H30" s="30">
        <v>0.51476140000000004</v>
      </c>
      <c r="I30" s="30">
        <v>8.8260740000000004E-2</v>
      </c>
      <c r="J30" s="30">
        <v>0.21673619</v>
      </c>
      <c r="K30" s="30">
        <v>0.19650430999999999</v>
      </c>
      <c r="L30" s="30">
        <v>0.12335924</v>
      </c>
      <c r="M30" s="10"/>
      <c r="N30" s="5" t="s">
        <v>17</v>
      </c>
      <c r="O30" s="5">
        <v>0.31580000000000003</v>
      </c>
      <c r="Q30" s="5"/>
      <c r="R30" s="22" t="s">
        <v>98</v>
      </c>
      <c r="T30">
        <v>0</v>
      </c>
      <c r="U30">
        <v>0</v>
      </c>
      <c r="V30" s="62"/>
      <c r="W30" s="19"/>
      <c r="X30" s="19"/>
      <c r="Y30" s="19"/>
      <c r="AA30" s="2"/>
      <c r="AB30" s="8"/>
    </row>
    <row r="31" spans="2:29" x14ac:dyDescent="0.2">
      <c r="B31" s="30">
        <v>6</v>
      </c>
      <c r="C31" s="30">
        <v>1E-3</v>
      </c>
      <c r="D31" s="30">
        <v>4</v>
      </c>
      <c r="E31" s="30">
        <v>0.47481630000000002</v>
      </c>
      <c r="F31" s="30">
        <v>0.47529589999999999</v>
      </c>
      <c r="G31" s="30">
        <v>0.68928571400000005</v>
      </c>
      <c r="H31" s="30">
        <v>0.55095819999999995</v>
      </c>
      <c r="I31" s="30">
        <v>8.6343290000000003E-2</v>
      </c>
      <c r="J31" s="30">
        <v>0.104698138</v>
      </c>
      <c r="K31" s="30">
        <v>0.16406883</v>
      </c>
      <c r="L31" s="30">
        <v>9.9096719999999999E-2</v>
      </c>
      <c r="M31" s="10"/>
      <c r="N31" s="5" t="s">
        <v>28</v>
      </c>
      <c r="O31" s="5">
        <v>0.1386</v>
      </c>
      <c r="P31" s="5"/>
      <c r="Q31" s="5"/>
      <c r="R31" s="22" t="s">
        <v>129</v>
      </c>
      <c r="V31" s="8">
        <v>2.86472833E-2</v>
      </c>
      <c r="W31" s="19"/>
      <c r="X31" s="19"/>
      <c r="Y31" s="19"/>
      <c r="AA31" s="2"/>
      <c r="AB31" s="8"/>
      <c r="AC31" s="8"/>
    </row>
    <row r="32" spans="2:29" x14ac:dyDescent="0.2">
      <c r="B32" s="30">
        <v>6</v>
      </c>
      <c r="C32" s="30">
        <v>1E-3</v>
      </c>
      <c r="D32" s="30">
        <v>8</v>
      </c>
      <c r="E32" s="30">
        <v>0.43911640000000002</v>
      </c>
      <c r="F32" s="30">
        <v>0.37696449999999998</v>
      </c>
      <c r="G32" s="30">
        <v>0.77642857099999996</v>
      </c>
      <c r="H32" s="30">
        <v>0.50125750000000002</v>
      </c>
      <c r="I32" s="30">
        <v>7.9850329999999997E-2</v>
      </c>
      <c r="J32" s="30">
        <v>7.4810307000000006E-2</v>
      </c>
      <c r="K32" s="30">
        <v>0.16302245000000001</v>
      </c>
      <c r="L32" s="30">
        <v>8.1135700000000005E-2</v>
      </c>
      <c r="M32" s="10"/>
      <c r="N32" s="5" t="s">
        <v>33</v>
      </c>
      <c r="O32" s="5">
        <v>0.57206999999999997</v>
      </c>
      <c r="P32" s="5"/>
      <c r="Q32" s="5"/>
      <c r="R32" s="22" t="s">
        <v>99</v>
      </c>
      <c r="T32">
        <v>60.192146999999999</v>
      </c>
      <c r="U32">
        <v>60.192146999999999</v>
      </c>
      <c r="W32" s="19"/>
      <c r="X32" s="19"/>
      <c r="Y32" s="19"/>
      <c r="AA32" s="2"/>
      <c r="AB32" s="8"/>
      <c r="AC32" s="8"/>
    </row>
    <row r="33" spans="2:28" x14ac:dyDescent="0.2">
      <c r="B33" s="30">
        <v>7</v>
      </c>
      <c r="C33" s="30">
        <v>1E-3</v>
      </c>
      <c r="D33" s="30">
        <v>2</v>
      </c>
      <c r="E33" s="30">
        <v>0.46036519999999997</v>
      </c>
      <c r="F33" s="30">
        <v>0.60483410000000004</v>
      </c>
      <c r="G33" s="30">
        <v>0.46642857100000001</v>
      </c>
      <c r="H33" s="30">
        <v>0.51562680000000005</v>
      </c>
      <c r="I33" s="30">
        <v>8.7444750000000002E-2</v>
      </c>
      <c r="J33" s="30">
        <v>0.21925629399999999</v>
      </c>
      <c r="K33" s="30">
        <v>0.19012617000000001</v>
      </c>
      <c r="L33" s="30">
        <v>0.11726309</v>
      </c>
      <c r="M33" s="5"/>
      <c r="N33" s="5"/>
      <c r="O33" s="5"/>
      <c r="P33" s="5"/>
      <c r="Q33" s="5"/>
      <c r="R33" s="22" t="s">
        <v>128</v>
      </c>
      <c r="V33" s="8">
        <v>1.6503693999999999E-2</v>
      </c>
      <c r="W33" s="19"/>
      <c r="X33" s="19"/>
      <c r="Y33" s="19"/>
      <c r="AA33" s="2"/>
      <c r="AB33" s="8"/>
    </row>
    <row r="34" spans="2:28" x14ac:dyDescent="0.2">
      <c r="B34" s="30">
        <v>7</v>
      </c>
      <c r="C34" s="30">
        <v>1E-3</v>
      </c>
      <c r="D34" s="30">
        <v>4</v>
      </c>
      <c r="E34" s="30">
        <v>0.47159990000000002</v>
      </c>
      <c r="F34" s="30">
        <v>0.47672730000000002</v>
      </c>
      <c r="G34" s="30">
        <v>0.68928571400000005</v>
      </c>
      <c r="H34" s="30">
        <v>0.55146919999999999</v>
      </c>
      <c r="I34" s="30">
        <v>8.8796230000000004E-2</v>
      </c>
      <c r="J34" s="30">
        <v>0.114682029</v>
      </c>
      <c r="K34" s="30">
        <v>0.17412622</v>
      </c>
      <c r="L34" s="30">
        <v>0.11337187</v>
      </c>
      <c r="M34" s="5"/>
      <c r="N34" s="49" t="s">
        <v>72</v>
      </c>
      <c r="O34" s="49"/>
      <c r="P34" s="5"/>
      <c r="Q34" s="5"/>
      <c r="R34" s="22" t="s">
        <v>100</v>
      </c>
      <c r="T34">
        <v>54.845447</v>
      </c>
      <c r="U34">
        <v>54.845447</v>
      </c>
      <c r="W34" s="19"/>
      <c r="X34" s="19"/>
      <c r="Y34" s="19"/>
      <c r="AA34" s="2"/>
      <c r="AB34" s="8"/>
    </row>
    <row r="35" spans="2:28" x14ac:dyDescent="0.2">
      <c r="B35" s="30">
        <v>7</v>
      </c>
      <c r="C35" s="30">
        <v>1E-3</v>
      </c>
      <c r="D35" s="30">
        <v>8</v>
      </c>
      <c r="E35" s="30">
        <v>0.43152790000000002</v>
      </c>
      <c r="F35" s="30">
        <v>0.3773668</v>
      </c>
      <c r="G35" s="30">
        <v>0.76500000000000001</v>
      </c>
      <c r="H35" s="30">
        <v>0.49927539999999998</v>
      </c>
      <c r="I35" s="30">
        <v>8.4964780000000004E-2</v>
      </c>
      <c r="J35" s="30">
        <v>6.8205805999999994E-2</v>
      </c>
      <c r="K35" s="30">
        <v>0.15658383000000001</v>
      </c>
      <c r="L35" s="30">
        <v>7.4372220000000003E-2</v>
      </c>
      <c r="M35" s="5"/>
      <c r="N35" s="5" t="s">
        <v>38</v>
      </c>
      <c r="O35" s="5" t="s">
        <v>4</v>
      </c>
      <c r="P35" s="5"/>
      <c r="Q35" s="5"/>
      <c r="R35" s="22" t="s">
        <v>127</v>
      </c>
      <c r="V35" s="8">
        <v>1.8960907799999999E-2</v>
      </c>
      <c r="W35" s="19"/>
      <c r="X35" s="19"/>
      <c r="Y35" s="19"/>
    </row>
    <row r="36" spans="2:28" x14ac:dyDescent="0.2">
      <c r="B36" s="30">
        <v>8</v>
      </c>
      <c r="C36" s="30">
        <v>1E-3</v>
      </c>
      <c r="D36" s="30">
        <v>2</v>
      </c>
      <c r="E36" s="30">
        <v>0.45459050000000001</v>
      </c>
      <c r="F36" s="30">
        <v>0.59346030000000005</v>
      </c>
      <c r="G36" s="30">
        <v>0.49357142900000001</v>
      </c>
      <c r="H36" s="30">
        <v>0.53215760000000001</v>
      </c>
      <c r="I36" s="30">
        <v>8.8968329999999998E-2</v>
      </c>
      <c r="J36" s="30">
        <v>0.199760834</v>
      </c>
      <c r="K36" s="30">
        <v>0.19642045</v>
      </c>
      <c r="L36" s="30">
        <v>0.11322098</v>
      </c>
      <c r="M36" s="5"/>
      <c r="N36" s="16" t="s">
        <v>73</v>
      </c>
      <c r="O36" s="16">
        <v>0.396727</v>
      </c>
      <c r="P36" s="5"/>
      <c r="Q36" s="5"/>
      <c r="R36" s="22" t="s">
        <v>101</v>
      </c>
      <c r="T36">
        <v>33.375104</v>
      </c>
      <c r="U36">
        <v>33.375104</v>
      </c>
    </row>
    <row r="37" spans="2:28" x14ac:dyDescent="0.2">
      <c r="B37" s="30">
        <v>8</v>
      </c>
      <c r="C37" s="30">
        <v>1E-3</v>
      </c>
      <c r="D37" s="30">
        <v>4</v>
      </c>
      <c r="E37" s="30">
        <v>0.46858470000000002</v>
      </c>
      <c r="F37" s="30">
        <v>0.4814698</v>
      </c>
      <c r="G37" s="30">
        <v>0.678571429</v>
      </c>
      <c r="H37" s="30">
        <v>0.5474175</v>
      </c>
      <c r="I37" s="30">
        <v>8.0354670000000003E-2</v>
      </c>
      <c r="J37" s="30">
        <v>0.11961519900000001</v>
      </c>
      <c r="K37" s="30">
        <v>0.17541860000000001</v>
      </c>
      <c r="L37" s="30">
        <v>0.1045581</v>
      </c>
      <c r="N37" s="16" t="s">
        <v>74</v>
      </c>
      <c r="O37" s="16">
        <v>0.38024859999999999</v>
      </c>
      <c r="P37" s="5"/>
      <c r="Q37" s="5"/>
      <c r="R37" s="22" t="s">
        <v>102</v>
      </c>
      <c r="T37">
        <v>15.288221</v>
      </c>
      <c r="U37">
        <v>15.288221</v>
      </c>
    </row>
    <row r="38" spans="2:28" x14ac:dyDescent="0.2">
      <c r="B38" s="30">
        <v>8</v>
      </c>
      <c r="C38" s="30">
        <v>1E-3</v>
      </c>
      <c r="D38" s="30">
        <v>8</v>
      </c>
      <c r="E38" s="30">
        <v>0.4288669</v>
      </c>
      <c r="F38" s="30">
        <v>0.37108679999999999</v>
      </c>
      <c r="G38" s="30">
        <v>0.74928571399999999</v>
      </c>
      <c r="H38" s="30">
        <v>0.49035630000000002</v>
      </c>
      <c r="I38" s="30">
        <v>8.2048599999999999E-2</v>
      </c>
      <c r="J38" s="30">
        <v>5.5924135999999999E-2</v>
      </c>
      <c r="K38" s="30">
        <v>0.16133148999999999</v>
      </c>
      <c r="L38" s="30">
        <v>6.7637240000000001E-2</v>
      </c>
      <c r="N38" s="16" t="s">
        <v>75</v>
      </c>
      <c r="O38" s="16">
        <v>0.40058240000000001</v>
      </c>
      <c r="P38" s="5"/>
      <c r="Q38" s="5"/>
      <c r="R38" s="22" t="s">
        <v>103</v>
      </c>
      <c r="T38">
        <v>47.159565999999998</v>
      </c>
      <c r="U38">
        <v>47.159565999999998</v>
      </c>
    </row>
    <row r="39" spans="2:28" x14ac:dyDescent="0.2">
      <c r="B39" s="30">
        <v>9</v>
      </c>
      <c r="C39" s="30">
        <v>1E-3</v>
      </c>
      <c r="D39" s="30">
        <v>2</v>
      </c>
      <c r="E39" s="30">
        <v>0.45194119999999999</v>
      </c>
      <c r="F39" s="30">
        <v>0.57024410000000003</v>
      </c>
      <c r="G39" s="30">
        <v>0.495</v>
      </c>
      <c r="H39" s="30">
        <v>0.52774650000000001</v>
      </c>
      <c r="I39" s="30">
        <v>8.6545579999999997E-2</v>
      </c>
      <c r="J39" s="30">
        <v>0.19019670999999999</v>
      </c>
      <c r="K39" s="30">
        <v>0.20687328999999999</v>
      </c>
      <c r="L39" s="30">
        <v>0.12168297</v>
      </c>
      <c r="N39" s="16" t="s">
        <v>76</v>
      </c>
      <c r="O39" s="16">
        <v>0.39763749999999998</v>
      </c>
      <c r="P39" s="5"/>
      <c r="Q39" s="5"/>
      <c r="R39" s="22" t="s">
        <v>126</v>
      </c>
      <c r="V39" s="8">
        <v>2.9548449099999999E-2</v>
      </c>
    </row>
    <row r="40" spans="2:28" x14ac:dyDescent="0.2">
      <c r="B40" s="30">
        <v>9</v>
      </c>
      <c r="C40" s="30">
        <v>1E-3</v>
      </c>
      <c r="D40" s="30">
        <v>4</v>
      </c>
      <c r="E40" s="30">
        <v>0.46867920000000002</v>
      </c>
      <c r="F40" s="30">
        <v>0.4771164</v>
      </c>
      <c r="G40" s="30">
        <v>0.68428571400000004</v>
      </c>
      <c r="H40" s="30">
        <v>0.54737340000000001</v>
      </c>
      <c r="I40" s="30">
        <v>8.0841060000000006E-2</v>
      </c>
      <c r="J40" s="30">
        <v>0.111481671</v>
      </c>
      <c r="K40" s="30">
        <v>0.17410485000000001</v>
      </c>
      <c r="L40" s="30">
        <v>0.10077578</v>
      </c>
      <c r="N40" s="16" t="s">
        <v>77</v>
      </c>
      <c r="O40" s="16">
        <v>0.41938999999999999</v>
      </c>
      <c r="P40" s="5"/>
      <c r="Q40" s="5"/>
      <c r="R40" s="22" t="s">
        <v>104</v>
      </c>
      <c r="T40">
        <v>47.577277000000002</v>
      </c>
      <c r="U40">
        <v>47.577277000000002</v>
      </c>
    </row>
    <row r="41" spans="2:28" x14ac:dyDescent="0.2">
      <c r="B41" s="30">
        <v>9</v>
      </c>
      <c r="C41" s="30">
        <v>1E-3</v>
      </c>
      <c r="D41" s="30">
        <v>8</v>
      </c>
      <c r="E41" s="30">
        <v>0.41619990000000001</v>
      </c>
      <c r="F41" s="30">
        <v>0.37386809999999998</v>
      </c>
      <c r="G41" s="30">
        <v>0.74928571399999999</v>
      </c>
      <c r="H41" s="30">
        <v>0.49319469999999999</v>
      </c>
      <c r="I41" s="30">
        <v>7.8409489999999998E-2</v>
      </c>
      <c r="J41" s="30">
        <v>5.8457545999999999E-2</v>
      </c>
      <c r="K41" s="30">
        <v>0.16133148999999999</v>
      </c>
      <c r="L41" s="30">
        <v>7.1090230000000004E-2</v>
      </c>
      <c r="P41" s="5"/>
      <c r="Q41" s="5"/>
      <c r="R41" s="22" t="s">
        <v>125</v>
      </c>
      <c r="V41" s="8">
        <v>-7.3978040000000002E-4</v>
      </c>
    </row>
    <row r="42" spans="2:28" x14ac:dyDescent="0.2">
      <c r="B42" s="30">
        <v>10</v>
      </c>
      <c r="C42" s="30">
        <v>1E-3</v>
      </c>
      <c r="D42" s="30">
        <v>2</v>
      </c>
      <c r="E42" s="30">
        <v>0.45759309999999997</v>
      </c>
      <c r="F42" s="30">
        <v>0.57508539999999997</v>
      </c>
      <c r="G42" s="30">
        <v>0.50071428600000001</v>
      </c>
      <c r="H42" s="30">
        <v>0.52851610000000004</v>
      </c>
      <c r="I42" s="30">
        <v>7.7326629999999993E-2</v>
      </c>
      <c r="J42" s="30">
        <v>0.20285308799999999</v>
      </c>
      <c r="K42" s="30">
        <v>0.20693492999999999</v>
      </c>
      <c r="L42" s="30">
        <v>0.11180010999999999</v>
      </c>
      <c r="N42" s="12" t="s">
        <v>13</v>
      </c>
      <c r="P42" s="12" t="s">
        <v>12</v>
      </c>
      <c r="Q42" s="5"/>
      <c r="R42" s="22" t="s">
        <v>105</v>
      </c>
      <c r="T42">
        <v>42.230575999999999</v>
      </c>
      <c r="U42">
        <v>42.230575999999999</v>
      </c>
    </row>
    <row r="43" spans="2:28" x14ac:dyDescent="0.2">
      <c r="B43" s="30">
        <v>10</v>
      </c>
      <c r="C43" s="30">
        <v>1E-3</v>
      </c>
      <c r="D43" s="30">
        <v>4</v>
      </c>
      <c r="E43" s="30">
        <v>0.46472540000000001</v>
      </c>
      <c r="F43" s="30">
        <v>0.47482269999999999</v>
      </c>
      <c r="G43" s="30">
        <v>0.68357142900000001</v>
      </c>
      <c r="H43" s="30">
        <v>0.5477902</v>
      </c>
      <c r="I43" s="30">
        <v>7.9045580000000004E-2</v>
      </c>
      <c r="J43" s="30">
        <v>0.100494258</v>
      </c>
      <c r="K43" s="30">
        <v>0.17560935999999999</v>
      </c>
      <c r="L43" s="30">
        <v>0.10185035000000001</v>
      </c>
      <c r="N43" s="4" t="s">
        <v>159</v>
      </c>
      <c r="P43" s="4">
        <v>173</v>
      </c>
      <c r="Q43" s="5"/>
      <c r="R43" s="22" t="s">
        <v>106</v>
      </c>
      <c r="T43">
        <v>6.2238930000000003</v>
      </c>
      <c r="U43">
        <v>6.2238930000000003</v>
      </c>
    </row>
    <row r="44" spans="2:28" x14ac:dyDescent="0.2">
      <c r="B44" s="30">
        <v>10</v>
      </c>
      <c r="C44" s="30">
        <v>1E-3</v>
      </c>
      <c r="D44" s="30">
        <v>8</v>
      </c>
      <c r="E44" s="30">
        <v>0.40900009999999998</v>
      </c>
      <c r="F44" s="30">
        <v>0.37336459999999999</v>
      </c>
      <c r="G44" s="30">
        <v>0.73214285700000004</v>
      </c>
      <c r="H44" s="30">
        <v>0.48918329999999999</v>
      </c>
      <c r="I44" s="30">
        <v>7.4189569999999996E-2</v>
      </c>
      <c r="J44" s="30">
        <v>6.7607739E-2</v>
      </c>
      <c r="K44" s="30">
        <v>0.16162112000000001</v>
      </c>
      <c r="L44" s="30">
        <v>8.1166650000000007E-2</v>
      </c>
      <c r="N44" s="4" t="s">
        <v>160</v>
      </c>
      <c r="O44" s="5"/>
      <c r="Q44" s="5"/>
      <c r="R44" s="22" t="s">
        <v>107</v>
      </c>
      <c r="T44">
        <v>27.025898000000002</v>
      </c>
      <c r="U44">
        <v>27.025898000000002</v>
      </c>
    </row>
    <row r="45" spans="2:28" x14ac:dyDescent="0.2">
      <c r="B45" s="30">
        <v>0.01</v>
      </c>
      <c r="C45" s="30">
        <v>0.01</v>
      </c>
      <c r="D45" s="30">
        <v>2</v>
      </c>
      <c r="E45" s="30">
        <v>0.4844289</v>
      </c>
      <c r="F45" s="30" t="s">
        <v>113</v>
      </c>
      <c r="G45" s="30">
        <v>0</v>
      </c>
      <c r="H45" s="30" t="s">
        <v>113</v>
      </c>
      <c r="I45" s="30">
        <v>9.4269259999999994E-2</v>
      </c>
      <c r="J45" s="31" t="s">
        <v>134</v>
      </c>
      <c r="K45" s="30">
        <v>0</v>
      </c>
      <c r="L45" s="31" t="s">
        <v>134</v>
      </c>
      <c r="M45" s="3"/>
      <c r="N45" s="5" t="s">
        <v>135</v>
      </c>
      <c r="O45" s="5"/>
      <c r="P45" s="5"/>
      <c r="Q45" s="5"/>
    </row>
    <row r="46" spans="2:28" x14ac:dyDescent="0.2">
      <c r="B46" s="30">
        <v>0.01</v>
      </c>
      <c r="C46" s="30">
        <v>0.01</v>
      </c>
      <c r="D46" s="30">
        <v>4</v>
      </c>
      <c r="E46" s="30">
        <v>0.26652710000000002</v>
      </c>
      <c r="F46" s="30" t="s">
        <v>113</v>
      </c>
      <c r="G46" s="30">
        <v>0</v>
      </c>
      <c r="H46" s="30" t="s">
        <v>113</v>
      </c>
      <c r="I46" s="30">
        <v>0.21289693000000001</v>
      </c>
      <c r="J46" s="31" t="s">
        <v>134</v>
      </c>
      <c r="K46" s="30">
        <v>0</v>
      </c>
      <c r="L46" s="31" t="s">
        <v>134</v>
      </c>
      <c r="M46" s="3"/>
      <c r="N46" s="5"/>
      <c r="O46" s="5"/>
      <c r="P46" s="5"/>
      <c r="Q46" s="5"/>
    </row>
    <row r="47" spans="2:28" ht="16" customHeight="1" x14ac:dyDescent="0.2">
      <c r="B47" s="30">
        <v>0.01</v>
      </c>
      <c r="C47" s="30">
        <v>0.01</v>
      </c>
      <c r="D47" s="30">
        <v>8</v>
      </c>
      <c r="E47" s="30">
        <v>0.48072999999999999</v>
      </c>
      <c r="F47" s="30">
        <v>0.19452510000000001</v>
      </c>
      <c r="G47" s="30">
        <v>1</v>
      </c>
      <c r="H47" s="30">
        <v>0.3256038</v>
      </c>
      <c r="I47" s="30">
        <v>9.3007510000000002E-2</v>
      </c>
      <c r="J47" s="30">
        <v>9.0144270000000002E-3</v>
      </c>
      <c r="K47" s="30">
        <v>0</v>
      </c>
      <c r="L47" s="30">
        <v>1.2506339999999999E-2</v>
      </c>
      <c r="M47" s="3"/>
      <c r="N47" s="49" t="s">
        <v>108</v>
      </c>
      <c r="O47" s="49"/>
      <c r="P47" s="49"/>
      <c r="Q47" s="49"/>
      <c r="R47" s="49"/>
    </row>
    <row r="48" spans="2:28" x14ac:dyDescent="0.2">
      <c r="B48" s="30">
        <v>0.1</v>
      </c>
      <c r="C48" s="30">
        <v>0.01</v>
      </c>
      <c r="D48" s="30">
        <v>2</v>
      </c>
      <c r="E48" s="30">
        <v>0.48320419999999997</v>
      </c>
      <c r="F48" s="30" t="s">
        <v>113</v>
      </c>
      <c r="G48" s="30">
        <v>0</v>
      </c>
      <c r="H48" s="30" t="s">
        <v>113</v>
      </c>
      <c r="I48" s="30">
        <v>9.4213619999999998E-2</v>
      </c>
      <c r="J48" s="31" t="s">
        <v>134</v>
      </c>
      <c r="K48" s="30">
        <v>0</v>
      </c>
      <c r="L48" s="31" t="s">
        <v>134</v>
      </c>
      <c r="M48" s="3"/>
      <c r="N48" s="5" t="s">
        <v>112</v>
      </c>
      <c r="O48" s="5" t="s">
        <v>5</v>
      </c>
      <c r="P48" s="5" t="s">
        <v>6</v>
      </c>
      <c r="Q48" s="5" t="s">
        <v>7</v>
      </c>
      <c r="R48" s="5" t="s">
        <v>38</v>
      </c>
      <c r="T48" s="12" t="s">
        <v>161</v>
      </c>
      <c r="V48" s="54" t="s">
        <v>148</v>
      </c>
    </row>
    <row r="49" spans="2:27" x14ac:dyDescent="0.2">
      <c r="B49" s="30">
        <v>0.1</v>
      </c>
      <c r="C49" s="30">
        <v>0.01</v>
      </c>
      <c r="D49" s="30">
        <v>4</v>
      </c>
      <c r="E49" s="30">
        <v>0.50445240000000002</v>
      </c>
      <c r="F49" s="30">
        <v>0.53273300000000001</v>
      </c>
      <c r="G49" s="30">
        <v>0.71928571399999996</v>
      </c>
      <c r="H49" s="30">
        <v>0.59394190000000002</v>
      </c>
      <c r="I49" s="30">
        <v>8.4191279999999993E-2</v>
      </c>
      <c r="J49" s="30">
        <v>0.14879642100000001</v>
      </c>
      <c r="K49" s="30">
        <v>0.14438543000000001</v>
      </c>
      <c r="L49" s="30">
        <v>9.3497339999999998E-2</v>
      </c>
      <c r="M49" s="3"/>
      <c r="N49" s="16">
        <v>0.49316680000000002</v>
      </c>
      <c r="O49" s="16">
        <v>0.5</v>
      </c>
      <c r="P49" s="16">
        <v>0.85714290000000004</v>
      </c>
      <c r="Q49" s="16">
        <v>0.63157890000000005</v>
      </c>
      <c r="R49" s="16" t="s">
        <v>43</v>
      </c>
      <c r="S49" s="6"/>
      <c r="T49" s="34">
        <v>0.17297299999999999</v>
      </c>
      <c r="V49" s="54"/>
    </row>
    <row r="50" spans="2:27" x14ac:dyDescent="0.2">
      <c r="B50" s="30">
        <v>0.1</v>
      </c>
      <c r="C50" s="30">
        <v>0.01</v>
      </c>
      <c r="D50" s="30">
        <v>8</v>
      </c>
      <c r="E50" s="30">
        <v>0.47967209999999999</v>
      </c>
      <c r="F50" s="30">
        <v>0.20184940000000001</v>
      </c>
      <c r="G50" s="30">
        <v>0.98357142900000005</v>
      </c>
      <c r="H50" s="30">
        <v>0.33469979999999999</v>
      </c>
      <c r="I50" s="30">
        <v>9.2503730000000006E-2</v>
      </c>
      <c r="J50" s="30">
        <v>1.4663216999999999E-2</v>
      </c>
      <c r="K50" s="30">
        <v>4.550361E-2</v>
      </c>
      <c r="L50" s="30">
        <v>2.08833E-2</v>
      </c>
      <c r="M50" s="3"/>
      <c r="N50" s="16">
        <v>0.48205300000000001</v>
      </c>
      <c r="O50" s="16">
        <v>0.4166667</v>
      </c>
      <c r="P50" s="16">
        <v>0.71428570000000002</v>
      </c>
      <c r="Q50" s="16">
        <v>0.5263158</v>
      </c>
      <c r="R50" s="16" t="s">
        <v>45</v>
      </c>
      <c r="S50" s="5"/>
      <c r="U50" s="5"/>
    </row>
    <row r="51" spans="2:27" x14ac:dyDescent="0.2">
      <c r="B51" s="30">
        <v>0.5</v>
      </c>
      <c r="C51" s="30">
        <v>0.01</v>
      </c>
      <c r="D51" s="30">
        <v>2</v>
      </c>
      <c r="E51" s="30">
        <v>0.48277100000000001</v>
      </c>
      <c r="F51" s="30">
        <v>0.70233129999999999</v>
      </c>
      <c r="G51" s="30">
        <v>0.32357142900000002</v>
      </c>
      <c r="H51" s="30">
        <v>0.44894040000000002</v>
      </c>
      <c r="I51" s="30">
        <v>9.3727099999999994E-2</v>
      </c>
      <c r="J51" s="30">
        <v>0.232906315</v>
      </c>
      <c r="K51" s="30">
        <v>0.18659930999999999</v>
      </c>
      <c r="L51" s="30">
        <v>0.14887634999999999</v>
      </c>
      <c r="M51" s="3"/>
      <c r="N51" s="16">
        <v>0.54528880000000002</v>
      </c>
      <c r="O51" s="16">
        <v>0.5</v>
      </c>
      <c r="P51" s="16">
        <v>0.57142859999999995</v>
      </c>
      <c r="Q51" s="16">
        <v>0.53333330000000001</v>
      </c>
      <c r="R51" s="16" t="s">
        <v>56</v>
      </c>
      <c r="S51" s="5"/>
      <c r="U51" s="5"/>
      <c r="V51" s="2"/>
      <c r="W51" s="8"/>
      <c r="X51" s="8"/>
    </row>
    <row r="52" spans="2:27" x14ac:dyDescent="0.2">
      <c r="B52" s="30">
        <v>0.5</v>
      </c>
      <c r="C52" s="30">
        <v>0.01</v>
      </c>
      <c r="D52" s="30">
        <v>4</v>
      </c>
      <c r="E52" s="30">
        <v>0.47235519999999998</v>
      </c>
      <c r="F52" s="30">
        <v>0.48290250000000001</v>
      </c>
      <c r="G52" s="30">
        <v>0.69928571399999995</v>
      </c>
      <c r="H52" s="30">
        <v>0.56053109999999995</v>
      </c>
      <c r="I52" s="30">
        <v>8.8159249999999995E-2</v>
      </c>
      <c r="J52" s="30">
        <v>0.112187245</v>
      </c>
      <c r="K52" s="30">
        <v>0.18783134000000001</v>
      </c>
      <c r="L52" s="30">
        <v>0.11966627000000001</v>
      </c>
      <c r="M52" s="3"/>
      <c r="N52" s="16">
        <v>0.47396310000000003</v>
      </c>
      <c r="O52" s="16">
        <v>0.45454549999999999</v>
      </c>
      <c r="P52" s="16">
        <v>0.71428570000000002</v>
      </c>
      <c r="Q52" s="16">
        <v>0.55555560000000004</v>
      </c>
      <c r="R52" s="16" t="s">
        <v>59</v>
      </c>
      <c r="S52" s="5"/>
      <c r="U52" s="5"/>
      <c r="V52" s="2"/>
      <c r="W52" s="8"/>
      <c r="X52" s="8"/>
    </row>
    <row r="53" spans="2:27" x14ac:dyDescent="0.2">
      <c r="B53" s="30">
        <v>0.5</v>
      </c>
      <c r="C53" s="30">
        <v>0.01</v>
      </c>
      <c r="D53" s="30">
        <v>8</v>
      </c>
      <c r="E53" s="30">
        <v>0.44292209999999999</v>
      </c>
      <c r="F53" s="30">
        <v>0.38265850000000001</v>
      </c>
      <c r="G53" s="30">
        <v>0.798571429</v>
      </c>
      <c r="H53" s="30">
        <v>0.51064480000000001</v>
      </c>
      <c r="I53" s="30">
        <v>8.1330239999999998E-2</v>
      </c>
      <c r="J53" s="30">
        <v>7.1834947999999996E-2</v>
      </c>
      <c r="K53" s="30">
        <v>0.17741589999999999</v>
      </c>
      <c r="L53" s="30">
        <v>8.3518419999999996E-2</v>
      </c>
      <c r="M53" s="3"/>
      <c r="N53" s="16">
        <v>0.3779633</v>
      </c>
      <c r="O53" s="16">
        <v>0.5</v>
      </c>
      <c r="P53" s="16">
        <v>0.71428570000000002</v>
      </c>
      <c r="Q53" s="16">
        <v>0.58823530000000002</v>
      </c>
      <c r="R53" s="16" t="s">
        <v>41</v>
      </c>
      <c r="S53" s="5"/>
      <c r="U53" s="5"/>
      <c r="V53" s="2"/>
      <c r="W53" s="8"/>
      <c r="X53" s="8"/>
    </row>
    <row r="54" spans="2:27" x14ac:dyDescent="0.2">
      <c r="B54" s="30">
        <v>1</v>
      </c>
      <c r="C54" s="30">
        <v>0.01</v>
      </c>
      <c r="D54" s="30">
        <v>2</v>
      </c>
      <c r="E54" s="30">
        <v>0.46265260000000002</v>
      </c>
      <c r="F54" s="30">
        <v>0.6035642</v>
      </c>
      <c r="G54" s="30">
        <v>0.43142857099999998</v>
      </c>
      <c r="H54" s="30">
        <v>0.48964079999999999</v>
      </c>
      <c r="I54" s="30">
        <v>9.1529280000000005E-2</v>
      </c>
      <c r="J54" s="30">
        <v>0.21979886900000001</v>
      </c>
      <c r="K54" s="30">
        <v>0.19969418</v>
      </c>
      <c r="L54" s="30">
        <v>0.12752722</v>
      </c>
      <c r="M54" s="3"/>
      <c r="N54" s="16">
        <v>0.3937947</v>
      </c>
      <c r="O54" s="16">
        <v>0.41176469999999998</v>
      </c>
      <c r="P54" s="16">
        <v>1</v>
      </c>
      <c r="Q54" s="16">
        <v>0.58333330000000005</v>
      </c>
      <c r="R54" s="16" t="s">
        <v>46</v>
      </c>
      <c r="S54" s="5"/>
      <c r="W54" s="8"/>
      <c r="X54" s="8"/>
    </row>
    <row r="55" spans="2:27" x14ac:dyDescent="0.2">
      <c r="B55" s="30">
        <v>1</v>
      </c>
      <c r="C55" s="30">
        <v>0.01</v>
      </c>
      <c r="D55" s="30">
        <v>4</v>
      </c>
      <c r="E55" s="30">
        <v>0.46998980000000001</v>
      </c>
      <c r="F55" s="30">
        <v>0.46769769999999999</v>
      </c>
      <c r="G55" s="30">
        <v>0.63285714299999996</v>
      </c>
      <c r="H55" s="30">
        <v>0.52594269999999999</v>
      </c>
      <c r="I55" s="30">
        <v>9.1523010000000002E-2</v>
      </c>
      <c r="J55" s="30">
        <v>0.10583886200000001</v>
      </c>
      <c r="K55" s="30">
        <v>0.20124506</v>
      </c>
      <c r="L55" s="30">
        <v>0.12148448000000001</v>
      </c>
      <c r="N55" s="16">
        <v>0.31794339999999999</v>
      </c>
      <c r="O55" s="16">
        <v>0.25</v>
      </c>
      <c r="P55" s="16">
        <v>0.42857139999999999</v>
      </c>
      <c r="Q55" s="16">
        <v>0.3157895</v>
      </c>
      <c r="R55" s="16" t="s">
        <v>60</v>
      </c>
      <c r="S55" s="5"/>
      <c r="T55" s="5"/>
      <c r="U55" s="5"/>
      <c r="V55" s="2"/>
      <c r="W55" s="8"/>
      <c r="X55" s="8"/>
    </row>
    <row r="56" spans="2:27" x14ac:dyDescent="0.2">
      <c r="B56" s="30">
        <v>1</v>
      </c>
      <c r="C56" s="30">
        <v>0.01</v>
      </c>
      <c r="D56" s="30">
        <v>8</v>
      </c>
      <c r="E56" s="30">
        <v>0.42725449999999998</v>
      </c>
      <c r="F56" s="30">
        <v>0.3740986</v>
      </c>
      <c r="G56" s="30">
        <v>0.67714285699999999</v>
      </c>
      <c r="H56" s="30">
        <v>0.47512599999999999</v>
      </c>
      <c r="I56" s="30">
        <v>8.5321869999999994E-2</v>
      </c>
      <c r="J56" s="30">
        <v>6.8016181999999994E-2</v>
      </c>
      <c r="K56" s="30">
        <v>0.17609291999999999</v>
      </c>
      <c r="L56" s="30">
        <v>8.7836659999999997E-2</v>
      </c>
      <c r="N56" s="16">
        <v>0.48195529999999998</v>
      </c>
      <c r="O56" s="16">
        <v>0.44444440000000002</v>
      </c>
      <c r="P56" s="16">
        <v>0.57142859999999995</v>
      </c>
      <c r="Q56" s="16">
        <v>0.5</v>
      </c>
      <c r="R56" s="16" t="s">
        <v>50</v>
      </c>
      <c r="S56" s="5"/>
      <c r="T56" s="2"/>
    </row>
    <row r="57" spans="2:27" x14ac:dyDescent="0.2">
      <c r="B57" s="30">
        <v>2</v>
      </c>
      <c r="C57" s="30">
        <v>0.01</v>
      </c>
      <c r="D57" s="30">
        <v>2</v>
      </c>
      <c r="E57" s="30">
        <v>0.4569724</v>
      </c>
      <c r="F57" s="30">
        <v>0.5468326</v>
      </c>
      <c r="G57" s="30">
        <v>0.45500000000000002</v>
      </c>
      <c r="H57" s="30">
        <v>0.49151</v>
      </c>
      <c r="I57" s="30">
        <v>9.2103980000000002E-2</v>
      </c>
      <c r="J57" s="30">
        <v>0.209381753</v>
      </c>
      <c r="K57" s="30">
        <v>0.18414804000000001</v>
      </c>
      <c r="L57" s="30">
        <v>0.10910851000000001</v>
      </c>
      <c r="N57" s="16">
        <v>0.51417880000000005</v>
      </c>
      <c r="O57" s="16">
        <v>0.6</v>
      </c>
      <c r="P57" s="16">
        <v>0.85714290000000004</v>
      </c>
      <c r="Q57" s="16">
        <v>0.70588240000000002</v>
      </c>
      <c r="R57" s="16" t="s">
        <v>49</v>
      </c>
      <c r="S57" s="5"/>
      <c r="T57" s="2"/>
    </row>
    <row r="58" spans="2:27" x14ac:dyDescent="0.2">
      <c r="B58" s="30">
        <v>2</v>
      </c>
      <c r="C58" s="30">
        <v>0.01</v>
      </c>
      <c r="D58" s="30">
        <v>4</v>
      </c>
      <c r="E58" s="30">
        <v>0.43206080000000002</v>
      </c>
      <c r="F58" s="30">
        <v>0.46773979999999998</v>
      </c>
      <c r="G58" s="30">
        <v>0.56642857099999999</v>
      </c>
      <c r="H58" s="30">
        <v>0.50050240000000001</v>
      </c>
      <c r="I58" s="30">
        <v>0.10479964</v>
      </c>
      <c r="J58" s="30">
        <v>0.11269834099999999</v>
      </c>
      <c r="K58" s="30">
        <v>0.16223815</v>
      </c>
      <c r="L58" s="30">
        <v>0.10644761</v>
      </c>
      <c r="N58" s="16">
        <v>0.5232367</v>
      </c>
      <c r="O58" s="16">
        <v>0.6</v>
      </c>
      <c r="P58" s="16">
        <v>0.85714290000000004</v>
      </c>
      <c r="Q58" s="16">
        <v>0.70588240000000002</v>
      </c>
      <c r="R58" s="16" t="s">
        <v>61</v>
      </c>
      <c r="S58" s="5"/>
      <c r="T58" s="2"/>
      <c r="W58" s="2"/>
      <c r="X58" s="2"/>
      <c r="Y58" s="2"/>
      <c r="Z58" s="2"/>
    </row>
    <row r="59" spans="2:27" x14ac:dyDescent="0.2">
      <c r="B59" s="30">
        <v>2</v>
      </c>
      <c r="C59" s="30">
        <v>0.01</v>
      </c>
      <c r="D59" s="30">
        <v>8</v>
      </c>
      <c r="E59" s="30">
        <v>0.40293289999999998</v>
      </c>
      <c r="F59" s="30">
        <v>0.43114010000000003</v>
      </c>
      <c r="G59" s="30">
        <v>0.58785714300000003</v>
      </c>
      <c r="H59" s="30">
        <v>0.48458220000000002</v>
      </c>
      <c r="I59" s="30">
        <v>7.6502109999999998E-2</v>
      </c>
      <c r="J59" s="30">
        <v>9.6737353999999998E-2</v>
      </c>
      <c r="K59" s="30">
        <v>0.15837583999999999</v>
      </c>
      <c r="L59" s="30">
        <v>8.4122630000000004E-2</v>
      </c>
      <c r="N59" s="16">
        <v>0.42547810000000003</v>
      </c>
      <c r="O59" s="16">
        <v>0.5</v>
      </c>
      <c r="P59" s="16">
        <v>0.57142859999999995</v>
      </c>
      <c r="Q59" s="16">
        <v>0.53333330000000001</v>
      </c>
      <c r="R59" s="16" t="s">
        <v>51</v>
      </c>
      <c r="S59" s="5"/>
      <c r="T59" s="2"/>
      <c r="W59" s="2"/>
      <c r="X59" s="2"/>
      <c r="Y59" s="2"/>
      <c r="Z59" s="2"/>
      <c r="AA59" s="2"/>
    </row>
    <row r="60" spans="2:27" x14ac:dyDescent="0.2">
      <c r="B60" s="30">
        <v>3</v>
      </c>
      <c r="C60" s="30">
        <v>0.01</v>
      </c>
      <c r="D60" s="30">
        <v>2</v>
      </c>
      <c r="E60" s="30">
        <v>0.44200279999999997</v>
      </c>
      <c r="F60" s="30">
        <v>0.52047500000000002</v>
      </c>
      <c r="G60" s="30">
        <v>0.47714285699999998</v>
      </c>
      <c r="H60" s="30">
        <v>0.49886059999999999</v>
      </c>
      <c r="I60" s="30">
        <v>9.5587720000000001E-2</v>
      </c>
      <c r="J60" s="30">
        <v>0.188569191</v>
      </c>
      <c r="K60" s="30">
        <v>0.20623003000000001</v>
      </c>
      <c r="L60" s="30">
        <v>0.12383005</v>
      </c>
      <c r="N60" s="16">
        <v>0.56117010000000001</v>
      </c>
      <c r="O60" s="16">
        <v>0.66666669999999995</v>
      </c>
      <c r="P60" s="16">
        <v>0.75</v>
      </c>
      <c r="Q60" s="16">
        <v>0.70588240000000002</v>
      </c>
      <c r="R60" s="16" t="s">
        <v>48</v>
      </c>
      <c r="S60" s="5"/>
      <c r="T60" s="2"/>
    </row>
    <row r="61" spans="2:27" x14ac:dyDescent="0.2">
      <c r="B61" s="30">
        <v>3</v>
      </c>
      <c r="C61" s="30">
        <v>0.01</v>
      </c>
      <c r="D61" s="30">
        <v>4</v>
      </c>
      <c r="E61" s="30">
        <v>0.42182160000000002</v>
      </c>
      <c r="F61" s="30">
        <v>0.4492083</v>
      </c>
      <c r="G61" s="30">
        <v>0.54928571400000004</v>
      </c>
      <c r="H61" s="30">
        <v>0.50349350000000004</v>
      </c>
      <c r="I61" s="30">
        <v>0.1008989</v>
      </c>
      <c r="J61" s="30">
        <v>0.14081286400000001</v>
      </c>
      <c r="K61" s="30">
        <v>0.17829443</v>
      </c>
      <c r="L61" s="30">
        <v>8.7127830000000003E-2</v>
      </c>
      <c r="N61" s="16">
        <v>0.60315730000000001</v>
      </c>
      <c r="O61" s="16">
        <v>0.35714289999999999</v>
      </c>
      <c r="P61" s="16">
        <v>0.71428570000000002</v>
      </c>
      <c r="Q61" s="16">
        <v>0.47619050000000002</v>
      </c>
      <c r="R61" s="16" t="s">
        <v>44</v>
      </c>
      <c r="S61" s="9"/>
      <c r="V61" s="2"/>
    </row>
    <row r="62" spans="2:27" x14ac:dyDescent="0.2">
      <c r="B62" s="30">
        <v>3</v>
      </c>
      <c r="C62" s="30">
        <v>0.01</v>
      </c>
      <c r="D62" s="30">
        <v>8</v>
      </c>
      <c r="E62" s="30">
        <v>0.39934619999999998</v>
      </c>
      <c r="F62" s="30">
        <v>0.4469069</v>
      </c>
      <c r="G62" s="30">
        <v>0.56000000000000005</v>
      </c>
      <c r="H62" s="30">
        <v>0.48472539999999997</v>
      </c>
      <c r="I62" s="30">
        <v>8.8313169999999996E-2</v>
      </c>
      <c r="J62" s="30">
        <v>0.11892678700000001</v>
      </c>
      <c r="K62" s="30">
        <v>0.16947673999999999</v>
      </c>
      <c r="L62" s="30">
        <v>0.11231613999999999</v>
      </c>
      <c r="N62" s="16">
        <v>0.50262470000000004</v>
      </c>
      <c r="O62" s="16">
        <v>0.55555560000000004</v>
      </c>
      <c r="P62" s="16">
        <v>0.71428570000000002</v>
      </c>
      <c r="Q62" s="16">
        <v>0.625</v>
      </c>
      <c r="R62" s="16" t="s">
        <v>42</v>
      </c>
      <c r="S62" s="9"/>
      <c r="U62" s="2"/>
    </row>
    <row r="63" spans="2:27" x14ac:dyDescent="0.2">
      <c r="B63" s="30">
        <v>4</v>
      </c>
      <c r="C63" s="30">
        <v>0.01</v>
      </c>
      <c r="D63" s="30">
        <v>2</v>
      </c>
      <c r="E63" s="30">
        <v>0.424923</v>
      </c>
      <c r="F63" s="30">
        <v>0.5055615</v>
      </c>
      <c r="G63" s="30">
        <v>0.47857142899999999</v>
      </c>
      <c r="H63" s="30">
        <v>0.49436920000000001</v>
      </c>
      <c r="I63" s="30">
        <v>9.62842E-2</v>
      </c>
      <c r="J63" s="30">
        <v>0.19946654899999999</v>
      </c>
      <c r="K63" s="30">
        <v>0.20952043000000001</v>
      </c>
      <c r="L63" s="30">
        <v>0.13595355000000001</v>
      </c>
      <c r="N63" s="16">
        <v>0.57297410000000004</v>
      </c>
      <c r="O63" s="16">
        <v>0.6</v>
      </c>
      <c r="P63" s="16">
        <v>0.75</v>
      </c>
      <c r="Q63" s="16">
        <v>0.66666669999999995</v>
      </c>
      <c r="R63" s="16" t="s">
        <v>52</v>
      </c>
      <c r="S63" s="9"/>
      <c r="U63" s="2"/>
    </row>
    <row r="64" spans="2:27" x14ac:dyDescent="0.2">
      <c r="B64" s="30">
        <v>4</v>
      </c>
      <c r="C64" s="30">
        <v>0.01</v>
      </c>
      <c r="D64" s="30">
        <v>4</v>
      </c>
      <c r="E64" s="30">
        <v>0.4077983</v>
      </c>
      <c r="F64" s="30">
        <v>0.44672210000000001</v>
      </c>
      <c r="G64" s="30">
        <v>0.54928571400000004</v>
      </c>
      <c r="H64" s="30">
        <v>0.50187820000000005</v>
      </c>
      <c r="I64" s="30">
        <v>0.10038643</v>
      </c>
      <c r="J64" s="30">
        <v>0.14709560799999999</v>
      </c>
      <c r="K64" s="30">
        <v>0.17829443</v>
      </c>
      <c r="L64" s="30">
        <v>9.3074799999999999E-2</v>
      </c>
      <c r="N64" s="16">
        <v>0.4947338</v>
      </c>
      <c r="O64" s="16">
        <v>0.5</v>
      </c>
      <c r="P64" s="16">
        <v>0.71428570000000002</v>
      </c>
      <c r="Q64" s="16">
        <v>0.58823530000000002</v>
      </c>
      <c r="R64" s="16" t="s">
        <v>62</v>
      </c>
      <c r="S64" s="10"/>
      <c r="U64" s="2"/>
    </row>
    <row r="65" spans="2:21" x14ac:dyDescent="0.2">
      <c r="B65" s="30">
        <v>4</v>
      </c>
      <c r="C65" s="30">
        <v>0.01</v>
      </c>
      <c r="D65" s="30">
        <v>8</v>
      </c>
      <c r="E65" s="30">
        <v>0.39840750000000003</v>
      </c>
      <c r="F65" s="30">
        <v>0.46041359999999998</v>
      </c>
      <c r="G65" s="30">
        <v>0.53714285699999997</v>
      </c>
      <c r="H65" s="30">
        <v>0.48372080000000001</v>
      </c>
      <c r="I65" s="30">
        <v>9.0274419999999994E-2</v>
      </c>
      <c r="J65" s="30">
        <v>0.133546942</v>
      </c>
      <c r="K65" s="30">
        <v>0.16103803</v>
      </c>
      <c r="L65" s="30">
        <v>0.11898114999999999</v>
      </c>
      <c r="N65" s="16">
        <v>0.5790381</v>
      </c>
      <c r="O65" s="16">
        <v>1</v>
      </c>
      <c r="P65" s="16">
        <v>0.375</v>
      </c>
      <c r="Q65" s="16">
        <v>0.54545449999999995</v>
      </c>
      <c r="R65" s="16" t="s">
        <v>39</v>
      </c>
      <c r="S65" s="10"/>
      <c r="U65" s="2"/>
    </row>
    <row r="66" spans="2:21" x14ac:dyDescent="0.2">
      <c r="B66" s="30">
        <v>5</v>
      </c>
      <c r="C66" s="30">
        <v>0.01</v>
      </c>
      <c r="D66" s="30">
        <v>2</v>
      </c>
      <c r="E66" s="30">
        <v>0.42463459999999997</v>
      </c>
      <c r="F66" s="30">
        <v>0.49830609999999997</v>
      </c>
      <c r="G66" s="30">
        <v>0.49</v>
      </c>
      <c r="H66" s="30">
        <v>0.49749349999999998</v>
      </c>
      <c r="I66" s="30">
        <v>9.6199670000000001E-2</v>
      </c>
      <c r="J66" s="30">
        <v>0.208342002</v>
      </c>
      <c r="K66" s="30">
        <v>0.2183445</v>
      </c>
      <c r="L66" s="30">
        <v>0.14741465000000001</v>
      </c>
      <c r="N66" s="16">
        <v>0.58482140000000005</v>
      </c>
      <c r="O66" s="16">
        <v>0.83333330000000005</v>
      </c>
      <c r="P66" s="16">
        <v>0.625</v>
      </c>
      <c r="Q66" s="16">
        <v>0.71428570000000002</v>
      </c>
      <c r="R66" s="16" t="s">
        <v>53</v>
      </c>
      <c r="S66" s="10"/>
      <c r="U66" s="2"/>
    </row>
    <row r="67" spans="2:21" x14ac:dyDescent="0.2">
      <c r="B67" s="30">
        <v>5</v>
      </c>
      <c r="C67" s="30">
        <v>0.01</v>
      </c>
      <c r="D67" s="30">
        <v>4</v>
      </c>
      <c r="E67" s="30">
        <v>0.39085730000000002</v>
      </c>
      <c r="F67" s="30">
        <v>0.47191290000000002</v>
      </c>
      <c r="G67" s="30">
        <v>0.53285714299999998</v>
      </c>
      <c r="H67" s="30">
        <v>0.50467490000000004</v>
      </c>
      <c r="I67" s="30">
        <v>9.8779950000000005E-2</v>
      </c>
      <c r="J67" s="30">
        <v>0.18460373999999999</v>
      </c>
      <c r="K67" s="30">
        <v>0.17817516</v>
      </c>
      <c r="L67" s="30">
        <v>9.9051650000000005E-2</v>
      </c>
      <c r="N67" s="16">
        <v>0.57406659999999998</v>
      </c>
      <c r="O67" s="16">
        <v>0.46153850000000002</v>
      </c>
      <c r="P67" s="16">
        <v>0.85714290000000004</v>
      </c>
      <c r="Q67" s="16">
        <v>0.6</v>
      </c>
      <c r="R67" s="16" t="s">
        <v>63</v>
      </c>
      <c r="S67" s="10"/>
      <c r="T67" s="10"/>
      <c r="U67" s="2"/>
    </row>
    <row r="68" spans="2:21" x14ac:dyDescent="0.2">
      <c r="B68" s="30">
        <v>5</v>
      </c>
      <c r="C68" s="30">
        <v>0.01</v>
      </c>
      <c r="D68" s="30">
        <v>8</v>
      </c>
      <c r="E68" s="30">
        <v>0.38927580000000001</v>
      </c>
      <c r="F68" s="30">
        <v>0.4755839</v>
      </c>
      <c r="G68" s="30">
        <v>0.52714285699999996</v>
      </c>
      <c r="H68" s="30">
        <v>0.48320879999999999</v>
      </c>
      <c r="I68" s="30">
        <v>9.5539840000000001E-2</v>
      </c>
      <c r="J68" s="30">
        <v>0.16437839700000001</v>
      </c>
      <c r="K68" s="30">
        <v>0.15906228</v>
      </c>
      <c r="L68" s="30">
        <v>0.1155743</v>
      </c>
      <c r="N68" s="16">
        <v>0.4687481</v>
      </c>
      <c r="O68" s="16">
        <v>0.5</v>
      </c>
      <c r="P68" s="16">
        <v>0.71428570000000002</v>
      </c>
      <c r="Q68" s="16">
        <v>0.58823530000000002</v>
      </c>
      <c r="R68" s="16" t="s">
        <v>40</v>
      </c>
      <c r="S68" s="10"/>
      <c r="T68" s="10"/>
      <c r="U68" s="2"/>
    </row>
    <row r="69" spans="2:21" x14ac:dyDescent="0.2">
      <c r="B69" s="30">
        <v>6</v>
      </c>
      <c r="C69" s="30">
        <v>0.01</v>
      </c>
      <c r="D69" s="30">
        <v>2</v>
      </c>
      <c r="E69" s="30">
        <v>0.4091514</v>
      </c>
      <c r="F69" s="30">
        <v>0.48775200000000002</v>
      </c>
      <c r="G69" s="30">
        <v>0.49428571399999999</v>
      </c>
      <c r="H69" s="30">
        <v>0.49722050000000001</v>
      </c>
      <c r="I69" s="30">
        <v>0.1037464</v>
      </c>
      <c r="J69" s="30">
        <v>0.172432635</v>
      </c>
      <c r="K69" s="30">
        <v>0.20624291</v>
      </c>
      <c r="L69" s="30">
        <v>0.12302341999999999</v>
      </c>
      <c r="N69" s="16">
        <v>0.69186289999999995</v>
      </c>
      <c r="O69" s="16">
        <v>0.66666669999999995</v>
      </c>
      <c r="P69" s="16">
        <v>0.85714290000000004</v>
      </c>
      <c r="Q69" s="16">
        <v>0.75</v>
      </c>
      <c r="R69" s="16" t="s">
        <v>57</v>
      </c>
      <c r="S69" s="5"/>
      <c r="T69" s="15"/>
      <c r="U69" s="2"/>
    </row>
    <row r="70" spans="2:21" x14ac:dyDescent="0.2">
      <c r="B70" s="30">
        <v>6</v>
      </c>
      <c r="C70" s="30">
        <v>0.01</v>
      </c>
      <c r="D70" s="30">
        <v>4</v>
      </c>
      <c r="E70" s="30">
        <v>0.38010670000000002</v>
      </c>
      <c r="F70" s="30">
        <v>0.46282859999999998</v>
      </c>
      <c r="G70" s="30">
        <v>0.51571428600000002</v>
      </c>
      <c r="H70" s="30">
        <v>0.49053940000000001</v>
      </c>
      <c r="I70" s="30">
        <v>0.10040499999999999</v>
      </c>
      <c r="J70" s="30">
        <v>0.193292722</v>
      </c>
      <c r="K70" s="30">
        <v>0.21099406000000001</v>
      </c>
      <c r="L70" s="30">
        <v>0.12800006</v>
      </c>
      <c r="N70" s="16">
        <v>0.43700460000000002</v>
      </c>
      <c r="O70" s="16">
        <v>0.5</v>
      </c>
      <c r="P70" s="16">
        <v>0.625</v>
      </c>
      <c r="Q70" s="16">
        <v>0.55555560000000004</v>
      </c>
      <c r="R70" s="16" t="s">
        <v>47</v>
      </c>
      <c r="S70" s="5"/>
      <c r="T70" s="5"/>
      <c r="U70" s="2"/>
    </row>
    <row r="71" spans="2:21" x14ac:dyDescent="0.2">
      <c r="B71" s="30">
        <v>6</v>
      </c>
      <c r="C71" s="30">
        <v>0.01</v>
      </c>
      <c r="D71" s="30">
        <v>8</v>
      </c>
      <c r="E71" s="30">
        <v>0.384326</v>
      </c>
      <c r="F71" s="30">
        <v>0.46948309999999999</v>
      </c>
      <c r="G71" s="30">
        <v>0.51571428600000002</v>
      </c>
      <c r="H71" s="30">
        <v>0.4726051</v>
      </c>
      <c r="I71" s="30">
        <v>0.10014603</v>
      </c>
      <c r="J71" s="30">
        <v>0.17165270999999999</v>
      </c>
      <c r="K71" s="30">
        <v>0.19853578</v>
      </c>
      <c r="L71" s="30">
        <v>0.13837948</v>
      </c>
      <c r="N71" s="16">
        <v>0.61906760000000005</v>
      </c>
      <c r="O71" s="16">
        <v>0.5</v>
      </c>
      <c r="P71" s="16">
        <v>0.85714290000000004</v>
      </c>
      <c r="Q71" s="16">
        <v>0.63157890000000005</v>
      </c>
      <c r="R71" s="16" t="s">
        <v>54</v>
      </c>
      <c r="U71" s="2"/>
    </row>
    <row r="72" spans="2:21" x14ac:dyDescent="0.2">
      <c r="B72" s="30">
        <v>7</v>
      </c>
      <c r="C72" s="30">
        <v>0.01</v>
      </c>
      <c r="D72" s="30">
        <v>2</v>
      </c>
      <c r="E72" s="30">
        <v>0.40195930000000002</v>
      </c>
      <c r="F72" s="30">
        <v>0.47764699999999999</v>
      </c>
      <c r="G72" s="30">
        <v>0.49357142900000001</v>
      </c>
      <c r="H72" s="30">
        <v>0.49338159999999998</v>
      </c>
      <c r="I72" s="30">
        <v>0.10451088</v>
      </c>
      <c r="J72" s="30">
        <v>0.168042778</v>
      </c>
      <c r="K72" s="30">
        <v>0.20463642000000001</v>
      </c>
      <c r="L72" s="30">
        <v>0.12629017000000001</v>
      </c>
      <c r="N72" s="16">
        <v>0.42151</v>
      </c>
      <c r="O72" s="16">
        <v>0.54545449999999995</v>
      </c>
      <c r="P72" s="16">
        <v>0.85714290000000004</v>
      </c>
      <c r="Q72" s="16">
        <v>0.66666669999999995</v>
      </c>
      <c r="R72" s="16" t="s">
        <v>58</v>
      </c>
      <c r="U72" s="2"/>
    </row>
    <row r="73" spans="2:21" x14ac:dyDescent="0.2">
      <c r="B73" s="30">
        <v>7</v>
      </c>
      <c r="C73" s="30">
        <v>0.01</v>
      </c>
      <c r="D73" s="30">
        <v>4</v>
      </c>
      <c r="E73" s="30">
        <v>0.37852010000000003</v>
      </c>
      <c r="F73" s="30">
        <v>0.4548084</v>
      </c>
      <c r="G73" s="30">
        <v>0.48785714299999999</v>
      </c>
      <c r="H73" s="30">
        <v>0.47426960000000001</v>
      </c>
      <c r="I73" s="30">
        <v>0.11050069999999999</v>
      </c>
      <c r="J73" s="30">
        <v>0.19774652500000001</v>
      </c>
      <c r="K73" s="30">
        <v>0.2033886</v>
      </c>
      <c r="L73" s="30">
        <v>0.13415647999999999</v>
      </c>
      <c r="N73" s="16">
        <v>0.47150760000000003</v>
      </c>
      <c r="O73" s="16">
        <v>0.45454549999999999</v>
      </c>
      <c r="P73" s="16">
        <v>0.71428570000000002</v>
      </c>
      <c r="Q73" s="16">
        <v>0.55555560000000004</v>
      </c>
      <c r="R73" s="16" t="s">
        <v>55</v>
      </c>
      <c r="U73" s="2"/>
    </row>
    <row r="74" spans="2:21" x14ac:dyDescent="0.2">
      <c r="B74" s="30">
        <v>7</v>
      </c>
      <c r="C74" s="30">
        <v>0.01</v>
      </c>
      <c r="D74" s="30">
        <v>8</v>
      </c>
      <c r="E74" s="30">
        <v>0.38076339999999997</v>
      </c>
      <c r="F74" s="30">
        <v>0.4533798</v>
      </c>
      <c r="G74" s="30">
        <v>0.48785714299999999</v>
      </c>
      <c r="H74" s="30">
        <v>0.47347590000000001</v>
      </c>
      <c r="I74" s="30">
        <v>0.1106935</v>
      </c>
      <c r="J74" s="30">
        <v>0.199143076</v>
      </c>
      <c r="K74" s="30">
        <v>0.2033886</v>
      </c>
      <c r="L74" s="30">
        <v>0.13537129000000001</v>
      </c>
      <c r="U74" s="2"/>
    </row>
    <row r="75" spans="2:21" x14ac:dyDescent="0.2">
      <c r="B75" s="30">
        <v>8</v>
      </c>
      <c r="C75" s="30">
        <v>0.01</v>
      </c>
      <c r="D75" s="30">
        <v>2</v>
      </c>
      <c r="E75" s="30">
        <v>0.38884819999999998</v>
      </c>
      <c r="F75" s="30">
        <v>0.47921249999999999</v>
      </c>
      <c r="G75" s="30">
        <v>0.48785714299999999</v>
      </c>
      <c r="H75" s="30">
        <v>0.49117870000000002</v>
      </c>
      <c r="I75" s="30">
        <v>0.10838652999999999</v>
      </c>
      <c r="J75" s="30">
        <v>0.17395322899999999</v>
      </c>
      <c r="K75" s="30">
        <v>0.18237904999999999</v>
      </c>
      <c r="L75" s="30">
        <v>0.11727704999999999</v>
      </c>
      <c r="U75" s="2"/>
    </row>
    <row r="76" spans="2:21" x14ac:dyDescent="0.2">
      <c r="B76" s="30">
        <v>8</v>
      </c>
      <c r="C76" s="30">
        <v>0.01</v>
      </c>
      <c r="D76" s="30">
        <v>4</v>
      </c>
      <c r="E76" s="30">
        <v>0.38162210000000002</v>
      </c>
      <c r="F76" s="30">
        <v>0.45105489999999998</v>
      </c>
      <c r="G76" s="30">
        <v>0.49857142900000001</v>
      </c>
      <c r="H76" s="30">
        <v>0.48086420000000002</v>
      </c>
      <c r="I76" s="30">
        <v>0.11506880999999999</v>
      </c>
      <c r="J76" s="30">
        <v>0.17273835400000001</v>
      </c>
      <c r="K76" s="30">
        <v>0.20116845999999999</v>
      </c>
      <c r="L76" s="30">
        <v>0.12938611</v>
      </c>
      <c r="U76" s="2"/>
    </row>
    <row r="77" spans="2:21" x14ac:dyDescent="0.2">
      <c r="B77" s="30">
        <v>8</v>
      </c>
      <c r="C77" s="30">
        <v>0.01</v>
      </c>
      <c r="D77" s="30">
        <v>8</v>
      </c>
      <c r="E77" s="30">
        <v>0.38165290000000002</v>
      </c>
      <c r="F77" s="30">
        <v>0.45105489999999998</v>
      </c>
      <c r="G77" s="30">
        <v>0.49857142900000001</v>
      </c>
      <c r="H77" s="30">
        <v>0.48086420000000002</v>
      </c>
      <c r="I77" s="30">
        <v>0.11547865</v>
      </c>
      <c r="J77" s="30">
        <v>0.17273835400000001</v>
      </c>
      <c r="K77" s="30">
        <v>0.20116845999999999</v>
      </c>
      <c r="L77" s="30">
        <v>0.12938611</v>
      </c>
      <c r="U77" s="2"/>
    </row>
    <row r="78" spans="2:21" x14ac:dyDescent="0.2">
      <c r="B78" s="30">
        <v>9</v>
      </c>
      <c r="C78" s="30">
        <v>0.01</v>
      </c>
      <c r="D78" s="30">
        <v>2</v>
      </c>
      <c r="E78" s="30">
        <v>0.3882371</v>
      </c>
      <c r="F78" s="30">
        <v>0.47942750000000001</v>
      </c>
      <c r="G78" s="30">
        <v>0.49357142900000001</v>
      </c>
      <c r="H78" s="30">
        <v>0.49409940000000002</v>
      </c>
      <c r="I78" s="30">
        <v>0.11146349999999999</v>
      </c>
      <c r="J78" s="30">
        <v>0.170491489</v>
      </c>
      <c r="K78" s="30">
        <v>0.17312221</v>
      </c>
      <c r="L78" s="30">
        <v>0.10830196</v>
      </c>
      <c r="U78" s="2"/>
    </row>
    <row r="79" spans="2:21" x14ac:dyDescent="0.2">
      <c r="B79" s="30">
        <v>9</v>
      </c>
      <c r="C79" s="30">
        <v>0.01</v>
      </c>
      <c r="D79" s="30">
        <v>4</v>
      </c>
      <c r="E79" s="30">
        <v>0.37838149999999998</v>
      </c>
      <c r="F79" s="30">
        <v>0.4478413</v>
      </c>
      <c r="G79" s="30">
        <v>0.48285714299999999</v>
      </c>
      <c r="H79" s="30">
        <v>0.47135709999999997</v>
      </c>
      <c r="I79" s="30">
        <v>0.11182004</v>
      </c>
      <c r="J79" s="30">
        <v>0.16449218800000001</v>
      </c>
      <c r="K79" s="30">
        <v>0.19713617</v>
      </c>
      <c r="L79" s="30">
        <v>0.12185701</v>
      </c>
      <c r="U79" s="2"/>
    </row>
    <row r="80" spans="2:21" x14ac:dyDescent="0.2">
      <c r="B80" s="30">
        <v>9</v>
      </c>
      <c r="C80" s="30">
        <v>0.01</v>
      </c>
      <c r="D80" s="30">
        <v>8</v>
      </c>
      <c r="E80" s="30">
        <v>0.37884800000000002</v>
      </c>
      <c r="F80" s="30">
        <v>0.4478413</v>
      </c>
      <c r="G80" s="30">
        <v>0.48285714299999999</v>
      </c>
      <c r="H80" s="30">
        <v>0.47135709999999997</v>
      </c>
      <c r="I80" s="30">
        <v>0.11108909</v>
      </c>
      <c r="J80" s="30">
        <v>0.16449218800000001</v>
      </c>
      <c r="K80" s="30">
        <v>0.19713617</v>
      </c>
      <c r="L80" s="30">
        <v>0.12185701</v>
      </c>
      <c r="U80" s="2"/>
    </row>
    <row r="81" spans="2:21" x14ac:dyDescent="0.2">
      <c r="B81" s="30">
        <v>10</v>
      </c>
      <c r="C81" s="30">
        <v>0.01</v>
      </c>
      <c r="D81" s="30">
        <v>2</v>
      </c>
      <c r="E81" s="30">
        <v>0.37894050000000001</v>
      </c>
      <c r="F81" s="30">
        <v>0.47556419999999999</v>
      </c>
      <c r="G81" s="30">
        <v>0.48785714299999999</v>
      </c>
      <c r="H81" s="30">
        <v>0.4895486</v>
      </c>
      <c r="I81" s="30">
        <v>0.10637209</v>
      </c>
      <c r="J81" s="30">
        <v>0.17063072600000001</v>
      </c>
      <c r="K81" s="30">
        <v>0.17280265</v>
      </c>
      <c r="L81" s="30">
        <v>0.10912236</v>
      </c>
      <c r="N81" s="2"/>
      <c r="O81" s="2"/>
      <c r="P81" s="2"/>
      <c r="Q81" s="2"/>
      <c r="R81" s="2"/>
      <c r="S81" s="2"/>
      <c r="U81" s="2"/>
    </row>
    <row r="82" spans="2:21" x14ac:dyDescent="0.2">
      <c r="B82" s="30">
        <v>10</v>
      </c>
      <c r="C82" s="30">
        <v>0.01</v>
      </c>
      <c r="D82" s="30">
        <v>4</v>
      </c>
      <c r="E82" s="30">
        <v>0.37827949999999999</v>
      </c>
      <c r="F82" s="30">
        <v>0.45558009999999999</v>
      </c>
      <c r="G82" s="30">
        <v>0.488571429</v>
      </c>
      <c r="H82" s="30">
        <v>0.47823009999999999</v>
      </c>
      <c r="I82" s="30">
        <v>0.11082607999999999</v>
      </c>
      <c r="J82" s="30">
        <v>0.15864349</v>
      </c>
      <c r="K82" s="30">
        <v>0.19321505999999999</v>
      </c>
      <c r="L82" s="30">
        <v>0.11471886000000001</v>
      </c>
      <c r="N82" s="2"/>
      <c r="O82" s="2"/>
      <c r="P82" s="2"/>
      <c r="Q82" s="2"/>
      <c r="R82" s="2"/>
      <c r="U82" s="2"/>
    </row>
    <row r="83" spans="2:21" x14ac:dyDescent="0.2">
      <c r="B83" s="30">
        <v>10</v>
      </c>
      <c r="C83" s="30">
        <v>0.01</v>
      </c>
      <c r="D83" s="30">
        <v>8</v>
      </c>
      <c r="E83" s="30">
        <v>0.37827949999999999</v>
      </c>
      <c r="F83" s="30">
        <v>0.45558009999999999</v>
      </c>
      <c r="G83" s="30">
        <v>0.488571429</v>
      </c>
      <c r="H83" s="30">
        <v>0.47823009999999999</v>
      </c>
      <c r="I83" s="30">
        <v>0.11082607999999999</v>
      </c>
      <c r="J83" s="30">
        <v>0.15864349</v>
      </c>
      <c r="K83" s="30">
        <v>0.19321505999999999</v>
      </c>
      <c r="L83" s="30">
        <v>0.11471886000000001</v>
      </c>
      <c r="N83" s="2"/>
      <c r="U83" s="2"/>
    </row>
    <row r="84" spans="2:21" x14ac:dyDescent="0.2">
      <c r="B84" s="30">
        <v>0.01</v>
      </c>
      <c r="C84" s="30">
        <v>0.1</v>
      </c>
      <c r="D84" s="30">
        <v>2</v>
      </c>
      <c r="E84" s="30">
        <v>0.37801669999999998</v>
      </c>
      <c r="F84" s="30" t="s">
        <v>113</v>
      </c>
      <c r="G84" s="30">
        <v>0</v>
      </c>
      <c r="H84" s="30" t="s">
        <v>113</v>
      </c>
      <c r="I84" s="30">
        <v>8.1315529999999997E-2</v>
      </c>
      <c r="J84" s="31" t="s">
        <v>134</v>
      </c>
      <c r="K84" s="30">
        <v>0</v>
      </c>
      <c r="L84" s="31" t="s">
        <v>134</v>
      </c>
      <c r="N84" s="2"/>
      <c r="U84" s="2"/>
    </row>
    <row r="85" spans="2:21" x14ac:dyDescent="0.2">
      <c r="B85" s="30">
        <v>0.01</v>
      </c>
      <c r="C85" s="30">
        <v>0.1</v>
      </c>
      <c r="D85" s="30">
        <v>4</v>
      </c>
      <c r="E85" s="30">
        <v>0.1829392</v>
      </c>
      <c r="F85" s="30" t="s">
        <v>113</v>
      </c>
      <c r="G85" s="30">
        <v>0</v>
      </c>
      <c r="H85" s="30" t="s">
        <v>113</v>
      </c>
      <c r="I85" s="30">
        <v>0.13133813</v>
      </c>
      <c r="J85" s="31" t="s">
        <v>134</v>
      </c>
      <c r="K85" s="30">
        <v>0</v>
      </c>
      <c r="L85" s="31" t="s">
        <v>134</v>
      </c>
      <c r="N85" s="2"/>
      <c r="U85" s="2"/>
    </row>
    <row r="86" spans="2:21" x14ac:dyDescent="0.2">
      <c r="B86" s="30">
        <v>0.01</v>
      </c>
      <c r="C86" s="30">
        <v>0.1</v>
      </c>
      <c r="D86" s="30">
        <v>8</v>
      </c>
      <c r="E86" s="30">
        <v>0.3730097</v>
      </c>
      <c r="F86" s="30">
        <v>0.19452510000000001</v>
      </c>
      <c r="G86" s="30">
        <v>1</v>
      </c>
      <c r="H86" s="30">
        <v>0.3256038</v>
      </c>
      <c r="I86" s="30">
        <v>8.1617999999999996E-2</v>
      </c>
      <c r="J86" s="30">
        <v>9.0144270000000002E-3</v>
      </c>
      <c r="K86" s="30">
        <v>0</v>
      </c>
      <c r="L86" s="30">
        <v>1.2506339999999999E-2</v>
      </c>
      <c r="N86" s="2"/>
    </row>
    <row r="87" spans="2:21" x14ac:dyDescent="0.2">
      <c r="B87" s="30">
        <v>0.1</v>
      </c>
      <c r="C87" s="30">
        <v>0.1</v>
      </c>
      <c r="D87" s="30">
        <v>2</v>
      </c>
      <c r="E87" s="30">
        <v>0.3739113</v>
      </c>
      <c r="F87" s="30" t="s">
        <v>113</v>
      </c>
      <c r="G87" s="30">
        <v>0</v>
      </c>
      <c r="H87" s="30" t="s">
        <v>113</v>
      </c>
      <c r="I87" s="30">
        <v>8.2528509999999999E-2</v>
      </c>
      <c r="J87" s="31" t="s">
        <v>134</v>
      </c>
      <c r="K87" s="30">
        <v>0</v>
      </c>
      <c r="L87" s="31" t="s">
        <v>134</v>
      </c>
      <c r="O87" s="2"/>
    </row>
    <row r="88" spans="2:21" x14ac:dyDescent="0.2">
      <c r="B88" s="30">
        <v>0.1</v>
      </c>
      <c r="C88" s="30">
        <v>0.1</v>
      </c>
      <c r="D88" s="30">
        <v>4</v>
      </c>
      <c r="E88" s="30">
        <v>0.36797770000000002</v>
      </c>
      <c r="F88" s="30" t="s">
        <v>113</v>
      </c>
      <c r="G88" s="30">
        <v>0</v>
      </c>
      <c r="H88" s="30" t="s">
        <v>113</v>
      </c>
      <c r="I88" s="30">
        <v>0.12265977</v>
      </c>
      <c r="J88" s="31" t="s">
        <v>134</v>
      </c>
      <c r="K88" s="30">
        <v>0</v>
      </c>
      <c r="L88" s="31" t="s">
        <v>134</v>
      </c>
      <c r="O88" s="2"/>
    </row>
    <row r="89" spans="2:21" x14ac:dyDescent="0.2">
      <c r="B89" s="30">
        <v>0.1</v>
      </c>
      <c r="C89" s="30">
        <v>0.1</v>
      </c>
      <c r="D89" s="30">
        <v>8</v>
      </c>
      <c r="E89" s="30">
        <v>0.37302479999999999</v>
      </c>
      <c r="F89" s="30">
        <v>0.19452510000000001</v>
      </c>
      <c r="G89" s="30">
        <v>1</v>
      </c>
      <c r="H89" s="30">
        <v>0.3256038</v>
      </c>
      <c r="I89" s="30">
        <v>8.1510830000000006E-2</v>
      </c>
      <c r="J89" s="30">
        <v>9.0144270000000002E-3</v>
      </c>
      <c r="K89" s="30">
        <v>0</v>
      </c>
      <c r="L89" s="30">
        <v>1.2506339999999999E-2</v>
      </c>
      <c r="O89" s="2"/>
    </row>
    <row r="90" spans="2:21" x14ac:dyDescent="0.2">
      <c r="B90" s="30">
        <v>0.5</v>
      </c>
      <c r="C90" s="30">
        <v>0.1</v>
      </c>
      <c r="D90" s="30">
        <v>2</v>
      </c>
      <c r="E90" s="30">
        <v>0.3739188</v>
      </c>
      <c r="F90" s="30" t="s">
        <v>113</v>
      </c>
      <c r="G90" s="30">
        <v>0</v>
      </c>
      <c r="H90" s="30" t="s">
        <v>113</v>
      </c>
      <c r="I90" s="30">
        <v>8.2538909999999993E-2</v>
      </c>
      <c r="J90" s="31" t="s">
        <v>134</v>
      </c>
      <c r="K90" s="30">
        <v>0</v>
      </c>
      <c r="L90" s="31" t="s">
        <v>134</v>
      </c>
      <c r="O90" s="2"/>
    </row>
    <row r="91" spans="2:21" x14ac:dyDescent="0.2">
      <c r="B91" s="30">
        <v>0.5</v>
      </c>
      <c r="C91" s="30">
        <v>0.1</v>
      </c>
      <c r="D91" s="30">
        <v>4</v>
      </c>
      <c r="E91" s="30">
        <v>0.35893829999999999</v>
      </c>
      <c r="F91" s="30">
        <v>1</v>
      </c>
      <c r="G91" s="30">
        <v>5.6428570999999997E-2</v>
      </c>
      <c r="H91" s="30">
        <v>0.26851849999999999</v>
      </c>
      <c r="I91" s="30">
        <v>8.4798209999999999E-2</v>
      </c>
      <c r="J91" s="30">
        <v>0</v>
      </c>
      <c r="K91" s="30">
        <v>8.1779740000000004E-2</v>
      </c>
      <c r="L91" s="30">
        <v>6.6608769999999998E-2</v>
      </c>
      <c r="O91" s="2"/>
    </row>
    <row r="92" spans="2:21" x14ac:dyDescent="0.2">
      <c r="B92" s="30">
        <v>0.5</v>
      </c>
      <c r="C92" s="30">
        <v>0.1</v>
      </c>
      <c r="D92" s="30">
        <v>8</v>
      </c>
      <c r="E92" s="30">
        <v>0.35893829999999999</v>
      </c>
      <c r="F92" s="30">
        <v>1</v>
      </c>
      <c r="G92" s="30">
        <v>5.6428570999999997E-2</v>
      </c>
      <c r="H92" s="30">
        <v>0.26851849999999999</v>
      </c>
      <c r="I92" s="30">
        <v>8.4798209999999999E-2</v>
      </c>
      <c r="J92" s="30">
        <v>0</v>
      </c>
      <c r="K92" s="30">
        <v>8.1779740000000004E-2</v>
      </c>
      <c r="L92" s="30">
        <v>6.6608769999999998E-2</v>
      </c>
      <c r="O92" s="2"/>
    </row>
    <row r="93" spans="2:21" x14ac:dyDescent="0.2">
      <c r="B93" s="30">
        <v>1</v>
      </c>
      <c r="C93" s="30">
        <v>0.1</v>
      </c>
      <c r="D93" s="30">
        <v>2</v>
      </c>
      <c r="E93" s="30">
        <v>0.35792859999999999</v>
      </c>
      <c r="F93" s="30">
        <v>1</v>
      </c>
      <c r="G93" s="30">
        <v>5.6428570999999997E-2</v>
      </c>
      <c r="H93" s="30">
        <v>0.26851849999999999</v>
      </c>
      <c r="I93" s="30">
        <v>7.8540150000000003E-2</v>
      </c>
      <c r="J93" s="30">
        <v>0</v>
      </c>
      <c r="K93" s="30">
        <v>8.1779740000000004E-2</v>
      </c>
      <c r="L93" s="30">
        <v>6.6608769999999998E-2</v>
      </c>
      <c r="O93" s="2"/>
    </row>
    <row r="94" spans="2:21" x14ac:dyDescent="0.2">
      <c r="B94" s="30">
        <v>1</v>
      </c>
      <c r="C94" s="30">
        <v>0.1</v>
      </c>
      <c r="D94" s="30">
        <v>4</v>
      </c>
      <c r="E94" s="30">
        <v>0.35755350000000002</v>
      </c>
      <c r="F94" s="30">
        <v>1</v>
      </c>
      <c r="G94" s="30">
        <v>5.6428570999999997E-2</v>
      </c>
      <c r="H94" s="30">
        <v>0.26851849999999999</v>
      </c>
      <c r="I94" s="30">
        <v>7.988133E-2</v>
      </c>
      <c r="J94" s="30">
        <v>0</v>
      </c>
      <c r="K94" s="30">
        <v>8.1779740000000004E-2</v>
      </c>
      <c r="L94" s="30">
        <v>6.6608769999999998E-2</v>
      </c>
      <c r="O94" s="2"/>
    </row>
    <row r="95" spans="2:21" x14ac:dyDescent="0.2">
      <c r="B95" s="30">
        <v>1</v>
      </c>
      <c r="C95" s="30">
        <v>0.1</v>
      </c>
      <c r="D95" s="30">
        <v>8</v>
      </c>
      <c r="E95" s="30">
        <v>0.35755350000000002</v>
      </c>
      <c r="F95" s="30">
        <v>1</v>
      </c>
      <c r="G95" s="30">
        <v>5.6428570999999997E-2</v>
      </c>
      <c r="H95" s="30">
        <v>0.26851849999999999</v>
      </c>
      <c r="I95" s="30">
        <v>7.988133E-2</v>
      </c>
      <c r="J95" s="30">
        <v>0</v>
      </c>
      <c r="K95" s="30">
        <v>8.1779740000000004E-2</v>
      </c>
      <c r="L95" s="30">
        <v>6.6608769999999998E-2</v>
      </c>
      <c r="O95" s="2"/>
    </row>
    <row r="96" spans="2:21" x14ac:dyDescent="0.2">
      <c r="B96" s="30">
        <v>2</v>
      </c>
      <c r="C96" s="30">
        <v>0.1</v>
      </c>
      <c r="D96" s="30">
        <v>2</v>
      </c>
      <c r="E96" s="30">
        <v>0.35802709999999999</v>
      </c>
      <c r="F96" s="30">
        <v>1</v>
      </c>
      <c r="G96" s="30">
        <v>5.6428570999999997E-2</v>
      </c>
      <c r="H96" s="30">
        <v>0.26851849999999999</v>
      </c>
      <c r="I96" s="30">
        <v>7.9229850000000004E-2</v>
      </c>
      <c r="J96" s="30">
        <v>0</v>
      </c>
      <c r="K96" s="30">
        <v>8.1779740000000004E-2</v>
      </c>
      <c r="L96" s="30">
        <v>6.6608769999999998E-2</v>
      </c>
      <c r="O96" s="2"/>
    </row>
    <row r="97" spans="2:15" x14ac:dyDescent="0.2">
      <c r="B97" s="30">
        <v>2</v>
      </c>
      <c r="C97" s="30">
        <v>0.1</v>
      </c>
      <c r="D97" s="30">
        <v>4</v>
      </c>
      <c r="E97" s="30">
        <v>0.35802709999999999</v>
      </c>
      <c r="F97" s="30">
        <v>1</v>
      </c>
      <c r="G97" s="30">
        <v>5.6428570999999997E-2</v>
      </c>
      <c r="H97" s="30">
        <v>0.26851849999999999</v>
      </c>
      <c r="I97" s="30">
        <v>7.9229850000000004E-2</v>
      </c>
      <c r="J97" s="30">
        <v>0</v>
      </c>
      <c r="K97" s="30">
        <v>8.1779740000000004E-2</v>
      </c>
      <c r="L97" s="30">
        <v>6.6608769999999998E-2</v>
      </c>
      <c r="O97" s="2"/>
    </row>
    <row r="98" spans="2:15" x14ac:dyDescent="0.2">
      <c r="B98" s="30">
        <v>2</v>
      </c>
      <c r="C98" s="30">
        <v>0.1</v>
      </c>
      <c r="D98" s="30">
        <v>8</v>
      </c>
      <c r="E98" s="30">
        <v>0.35802709999999999</v>
      </c>
      <c r="F98" s="30">
        <v>1</v>
      </c>
      <c r="G98" s="30">
        <v>5.6428570999999997E-2</v>
      </c>
      <c r="H98" s="30">
        <v>0.26851849999999999</v>
      </c>
      <c r="I98" s="30">
        <v>7.9229850000000004E-2</v>
      </c>
      <c r="J98" s="30">
        <v>0</v>
      </c>
      <c r="K98" s="30">
        <v>8.1779740000000004E-2</v>
      </c>
      <c r="L98" s="30">
        <v>6.6608769999999998E-2</v>
      </c>
      <c r="O98" s="2"/>
    </row>
    <row r="99" spans="2:15" x14ac:dyDescent="0.2">
      <c r="B99" s="30">
        <v>3</v>
      </c>
      <c r="C99" s="30">
        <v>0.1</v>
      </c>
      <c r="D99" s="30">
        <v>2</v>
      </c>
      <c r="E99" s="30">
        <v>0.35802709999999999</v>
      </c>
      <c r="F99" s="30">
        <v>1</v>
      </c>
      <c r="G99" s="30">
        <v>5.6428570999999997E-2</v>
      </c>
      <c r="H99" s="30">
        <v>0.26851849999999999</v>
      </c>
      <c r="I99" s="30">
        <v>7.9229850000000004E-2</v>
      </c>
      <c r="J99" s="30">
        <v>0</v>
      </c>
      <c r="K99" s="30">
        <v>8.1779740000000004E-2</v>
      </c>
      <c r="L99" s="30">
        <v>6.6608769999999998E-2</v>
      </c>
      <c r="O99" s="2"/>
    </row>
    <row r="100" spans="2:15" x14ac:dyDescent="0.2">
      <c r="B100" s="30">
        <v>3</v>
      </c>
      <c r="C100" s="30">
        <v>0.1</v>
      </c>
      <c r="D100" s="30">
        <v>4</v>
      </c>
      <c r="E100" s="30">
        <v>0.35802709999999999</v>
      </c>
      <c r="F100" s="30">
        <v>1</v>
      </c>
      <c r="G100" s="30">
        <v>5.6428570999999997E-2</v>
      </c>
      <c r="H100" s="30">
        <v>0.26851849999999999</v>
      </c>
      <c r="I100" s="30">
        <v>7.9229850000000004E-2</v>
      </c>
      <c r="J100" s="30">
        <v>0</v>
      </c>
      <c r="K100" s="30">
        <v>8.1779740000000004E-2</v>
      </c>
      <c r="L100" s="30">
        <v>6.6608769999999998E-2</v>
      </c>
      <c r="O100" s="2"/>
    </row>
    <row r="101" spans="2:15" x14ac:dyDescent="0.2">
      <c r="B101" s="30">
        <v>3</v>
      </c>
      <c r="C101" s="30">
        <v>0.1</v>
      </c>
      <c r="D101" s="30">
        <v>8</v>
      </c>
      <c r="E101" s="30">
        <v>0.35802709999999999</v>
      </c>
      <c r="F101" s="30">
        <v>1</v>
      </c>
      <c r="G101" s="30">
        <v>5.6428570999999997E-2</v>
      </c>
      <c r="H101" s="30">
        <v>0.26851849999999999</v>
      </c>
      <c r="I101" s="30">
        <v>7.9229850000000004E-2</v>
      </c>
      <c r="J101" s="30">
        <v>0</v>
      </c>
      <c r="K101" s="30">
        <v>8.1779740000000004E-2</v>
      </c>
      <c r="L101" s="30">
        <v>6.6608769999999998E-2</v>
      </c>
      <c r="O101" s="2"/>
    </row>
    <row r="102" spans="2:15" x14ac:dyDescent="0.2">
      <c r="B102" s="30">
        <v>4</v>
      </c>
      <c r="C102" s="30">
        <v>0.1</v>
      </c>
      <c r="D102" s="30">
        <v>2</v>
      </c>
      <c r="E102" s="30">
        <v>0.35802709999999999</v>
      </c>
      <c r="F102" s="30">
        <v>1</v>
      </c>
      <c r="G102" s="30">
        <v>5.6428570999999997E-2</v>
      </c>
      <c r="H102" s="30">
        <v>0.26851849999999999</v>
      </c>
      <c r="I102" s="30">
        <v>7.9229850000000004E-2</v>
      </c>
      <c r="J102" s="30">
        <v>0</v>
      </c>
      <c r="K102" s="30">
        <v>8.1779740000000004E-2</v>
      </c>
      <c r="L102" s="30">
        <v>6.6608769999999998E-2</v>
      </c>
      <c r="O102" s="2"/>
    </row>
    <row r="103" spans="2:15" x14ac:dyDescent="0.2">
      <c r="B103" s="30">
        <v>4</v>
      </c>
      <c r="C103" s="30">
        <v>0.1</v>
      </c>
      <c r="D103" s="30">
        <v>4</v>
      </c>
      <c r="E103" s="30">
        <v>0.35802709999999999</v>
      </c>
      <c r="F103" s="30">
        <v>1</v>
      </c>
      <c r="G103" s="30">
        <v>5.6428570999999997E-2</v>
      </c>
      <c r="H103" s="30">
        <v>0.26851849999999999</v>
      </c>
      <c r="I103" s="30">
        <v>7.9229850000000004E-2</v>
      </c>
      <c r="J103" s="30">
        <v>0</v>
      </c>
      <c r="K103" s="30">
        <v>8.1779740000000004E-2</v>
      </c>
      <c r="L103" s="30">
        <v>6.6608769999999998E-2</v>
      </c>
      <c r="O103" s="2"/>
    </row>
    <row r="104" spans="2:15" x14ac:dyDescent="0.2">
      <c r="B104" s="30">
        <v>4</v>
      </c>
      <c r="C104" s="30">
        <v>0.1</v>
      </c>
      <c r="D104" s="30">
        <v>8</v>
      </c>
      <c r="E104" s="30">
        <v>0.35802709999999999</v>
      </c>
      <c r="F104" s="30">
        <v>1</v>
      </c>
      <c r="G104" s="30">
        <v>5.6428570999999997E-2</v>
      </c>
      <c r="H104" s="30">
        <v>0.26851849999999999</v>
      </c>
      <c r="I104" s="30">
        <v>7.9229850000000004E-2</v>
      </c>
      <c r="J104" s="30">
        <v>0</v>
      </c>
      <c r="K104" s="30">
        <v>8.1779740000000004E-2</v>
      </c>
      <c r="L104" s="30">
        <v>6.6608769999999998E-2</v>
      </c>
      <c r="O104" s="2"/>
    </row>
    <row r="105" spans="2:15" x14ac:dyDescent="0.2">
      <c r="B105" s="30">
        <v>5</v>
      </c>
      <c r="C105" s="30">
        <v>0.1</v>
      </c>
      <c r="D105" s="30">
        <v>2</v>
      </c>
      <c r="E105" s="30">
        <v>0.35802709999999999</v>
      </c>
      <c r="F105" s="30">
        <v>1</v>
      </c>
      <c r="G105" s="30">
        <v>5.6428570999999997E-2</v>
      </c>
      <c r="H105" s="30">
        <v>0.26851849999999999</v>
      </c>
      <c r="I105" s="30">
        <v>7.9229850000000004E-2</v>
      </c>
      <c r="J105" s="30">
        <v>0</v>
      </c>
      <c r="K105" s="30">
        <v>8.1779740000000004E-2</v>
      </c>
      <c r="L105" s="30">
        <v>6.6608769999999998E-2</v>
      </c>
      <c r="O105" s="2"/>
    </row>
    <row r="106" spans="2:15" x14ac:dyDescent="0.2">
      <c r="B106" s="30">
        <v>5</v>
      </c>
      <c r="C106" s="30">
        <v>0.1</v>
      </c>
      <c r="D106" s="30">
        <v>4</v>
      </c>
      <c r="E106" s="30">
        <v>0.35802709999999999</v>
      </c>
      <c r="F106" s="30">
        <v>1</v>
      </c>
      <c r="G106" s="30">
        <v>5.6428570999999997E-2</v>
      </c>
      <c r="H106" s="30">
        <v>0.26851849999999999</v>
      </c>
      <c r="I106" s="30">
        <v>7.9229850000000004E-2</v>
      </c>
      <c r="J106" s="30">
        <v>0</v>
      </c>
      <c r="K106" s="30">
        <v>8.1779740000000004E-2</v>
      </c>
      <c r="L106" s="30">
        <v>6.6608769999999998E-2</v>
      </c>
      <c r="O106" s="2"/>
    </row>
    <row r="107" spans="2:15" x14ac:dyDescent="0.2">
      <c r="B107" s="30">
        <v>5</v>
      </c>
      <c r="C107" s="30">
        <v>0.1</v>
      </c>
      <c r="D107" s="30">
        <v>8</v>
      </c>
      <c r="E107" s="30">
        <v>0.35802709999999999</v>
      </c>
      <c r="F107" s="30">
        <v>1</v>
      </c>
      <c r="G107" s="30">
        <v>5.6428570999999997E-2</v>
      </c>
      <c r="H107" s="30">
        <v>0.26851849999999999</v>
      </c>
      <c r="I107" s="30">
        <v>7.9229850000000004E-2</v>
      </c>
      <c r="J107" s="30">
        <v>0</v>
      </c>
      <c r="K107" s="30">
        <v>8.1779740000000004E-2</v>
      </c>
      <c r="L107" s="30">
        <v>6.6608769999999998E-2</v>
      </c>
      <c r="O107" s="2"/>
    </row>
    <row r="108" spans="2:15" x14ac:dyDescent="0.2">
      <c r="B108" s="30">
        <v>6</v>
      </c>
      <c r="C108" s="30">
        <v>0.1</v>
      </c>
      <c r="D108" s="30">
        <v>2</v>
      </c>
      <c r="E108" s="30">
        <v>0.35802709999999999</v>
      </c>
      <c r="F108" s="30">
        <v>1</v>
      </c>
      <c r="G108" s="30">
        <v>5.6428570999999997E-2</v>
      </c>
      <c r="H108" s="30">
        <v>0.26851849999999999</v>
      </c>
      <c r="I108" s="30">
        <v>7.9229850000000004E-2</v>
      </c>
      <c r="J108" s="30">
        <v>0</v>
      </c>
      <c r="K108" s="30">
        <v>8.1779740000000004E-2</v>
      </c>
      <c r="L108" s="30">
        <v>6.6608769999999998E-2</v>
      </c>
    </row>
    <row r="109" spans="2:15" x14ac:dyDescent="0.2">
      <c r="B109" s="30">
        <v>6</v>
      </c>
      <c r="C109" s="30">
        <v>0.1</v>
      </c>
      <c r="D109" s="30">
        <v>4</v>
      </c>
      <c r="E109" s="30">
        <v>0.35802709999999999</v>
      </c>
      <c r="F109" s="30">
        <v>1</v>
      </c>
      <c r="G109" s="30">
        <v>5.6428570999999997E-2</v>
      </c>
      <c r="H109" s="30">
        <v>0.26851849999999999</v>
      </c>
      <c r="I109" s="30">
        <v>7.9229850000000004E-2</v>
      </c>
      <c r="J109" s="30">
        <v>0</v>
      </c>
      <c r="K109" s="30">
        <v>8.1779740000000004E-2</v>
      </c>
      <c r="L109" s="30">
        <v>6.6608769999999998E-2</v>
      </c>
    </row>
    <row r="110" spans="2:15" x14ac:dyDescent="0.2">
      <c r="B110" s="30">
        <v>6</v>
      </c>
      <c r="C110" s="30">
        <v>0.1</v>
      </c>
      <c r="D110" s="30">
        <v>8</v>
      </c>
      <c r="E110" s="30">
        <v>0.35802709999999999</v>
      </c>
      <c r="F110" s="30">
        <v>1</v>
      </c>
      <c r="G110" s="30">
        <v>5.6428570999999997E-2</v>
      </c>
      <c r="H110" s="30">
        <v>0.26851849999999999</v>
      </c>
      <c r="I110" s="30">
        <v>7.9229850000000004E-2</v>
      </c>
      <c r="J110" s="30">
        <v>0</v>
      </c>
      <c r="K110" s="30">
        <v>8.1779740000000004E-2</v>
      </c>
      <c r="L110" s="30">
        <v>6.6608769999999998E-2</v>
      </c>
    </row>
    <row r="111" spans="2:15" x14ac:dyDescent="0.2">
      <c r="B111" s="30">
        <v>7</v>
      </c>
      <c r="C111" s="30">
        <v>0.1</v>
      </c>
      <c r="D111" s="30">
        <v>2</v>
      </c>
      <c r="E111" s="30">
        <v>0.35802709999999999</v>
      </c>
      <c r="F111" s="30">
        <v>1</v>
      </c>
      <c r="G111" s="30">
        <v>5.6428570999999997E-2</v>
      </c>
      <c r="H111" s="30">
        <v>0.26851849999999999</v>
      </c>
      <c r="I111" s="30">
        <v>7.9229850000000004E-2</v>
      </c>
      <c r="J111" s="30">
        <v>0</v>
      </c>
      <c r="K111" s="30">
        <v>8.1779740000000004E-2</v>
      </c>
      <c r="L111" s="30">
        <v>6.6608769999999998E-2</v>
      </c>
    </row>
    <row r="112" spans="2:15" x14ac:dyDescent="0.2">
      <c r="B112" s="30">
        <v>7</v>
      </c>
      <c r="C112" s="30">
        <v>0.1</v>
      </c>
      <c r="D112" s="30">
        <v>4</v>
      </c>
      <c r="E112" s="30">
        <v>0.35802709999999999</v>
      </c>
      <c r="F112" s="30">
        <v>1</v>
      </c>
      <c r="G112" s="30">
        <v>5.6428570999999997E-2</v>
      </c>
      <c r="H112" s="30">
        <v>0.26851849999999999</v>
      </c>
      <c r="I112" s="30">
        <v>7.9229850000000004E-2</v>
      </c>
      <c r="J112" s="30">
        <v>0</v>
      </c>
      <c r="K112" s="30">
        <v>8.1779740000000004E-2</v>
      </c>
      <c r="L112" s="30">
        <v>6.6608769999999998E-2</v>
      </c>
    </row>
    <row r="113" spans="2:12" x14ac:dyDescent="0.2">
      <c r="B113" s="30">
        <v>7</v>
      </c>
      <c r="C113" s="30">
        <v>0.1</v>
      </c>
      <c r="D113" s="30">
        <v>8</v>
      </c>
      <c r="E113" s="30">
        <v>0.35802709999999999</v>
      </c>
      <c r="F113" s="30">
        <v>1</v>
      </c>
      <c r="G113" s="30">
        <v>5.6428570999999997E-2</v>
      </c>
      <c r="H113" s="30">
        <v>0.26851849999999999</v>
      </c>
      <c r="I113" s="30">
        <v>7.9229850000000004E-2</v>
      </c>
      <c r="J113" s="30">
        <v>0</v>
      </c>
      <c r="K113" s="30">
        <v>8.1779740000000004E-2</v>
      </c>
      <c r="L113" s="30">
        <v>6.6608769999999998E-2</v>
      </c>
    </row>
    <row r="114" spans="2:12" x14ac:dyDescent="0.2">
      <c r="B114" s="30">
        <v>8</v>
      </c>
      <c r="C114" s="30">
        <v>0.1</v>
      </c>
      <c r="D114" s="30">
        <v>2</v>
      </c>
      <c r="E114" s="30">
        <v>0.35802709999999999</v>
      </c>
      <c r="F114" s="30">
        <v>1</v>
      </c>
      <c r="G114" s="30">
        <v>5.6428570999999997E-2</v>
      </c>
      <c r="H114" s="30">
        <v>0.26851849999999999</v>
      </c>
      <c r="I114" s="30">
        <v>7.9229850000000004E-2</v>
      </c>
      <c r="J114" s="30">
        <v>0</v>
      </c>
      <c r="K114" s="30">
        <v>8.1779740000000004E-2</v>
      </c>
      <c r="L114" s="30">
        <v>6.6608769999999998E-2</v>
      </c>
    </row>
    <row r="115" spans="2:12" x14ac:dyDescent="0.2">
      <c r="B115" s="30">
        <v>8</v>
      </c>
      <c r="C115" s="30">
        <v>0.1</v>
      </c>
      <c r="D115" s="30">
        <v>4</v>
      </c>
      <c r="E115" s="30">
        <v>0.35802709999999999</v>
      </c>
      <c r="F115" s="30">
        <v>1</v>
      </c>
      <c r="G115" s="30">
        <v>5.6428570999999997E-2</v>
      </c>
      <c r="H115" s="30">
        <v>0.26851849999999999</v>
      </c>
      <c r="I115" s="30">
        <v>7.9229850000000004E-2</v>
      </c>
      <c r="J115" s="30">
        <v>0</v>
      </c>
      <c r="K115" s="30">
        <v>8.1779740000000004E-2</v>
      </c>
      <c r="L115" s="30">
        <v>6.6608769999999998E-2</v>
      </c>
    </row>
    <row r="116" spans="2:12" x14ac:dyDescent="0.2">
      <c r="B116" s="30">
        <v>8</v>
      </c>
      <c r="C116" s="30">
        <v>0.1</v>
      </c>
      <c r="D116" s="30">
        <v>8</v>
      </c>
      <c r="E116" s="30">
        <v>0.35802709999999999</v>
      </c>
      <c r="F116" s="30">
        <v>1</v>
      </c>
      <c r="G116" s="30">
        <v>5.6428570999999997E-2</v>
      </c>
      <c r="H116" s="30">
        <v>0.26851849999999999</v>
      </c>
      <c r="I116" s="30">
        <v>7.9229850000000004E-2</v>
      </c>
      <c r="J116" s="30">
        <v>0</v>
      </c>
      <c r="K116" s="30">
        <v>8.1779740000000004E-2</v>
      </c>
      <c r="L116" s="30">
        <v>6.6608769999999998E-2</v>
      </c>
    </row>
    <row r="117" spans="2:12" x14ac:dyDescent="0.2">
      <c r="B117" s="30">
        <v>9</v>
      </c>
      <c r="C117" s="30">
        <v>0.1</v>
      </c>
      <c r="D117" s="30">
        <v>2</v>
      </c>
      <c r="E117" s="30">
        <v>0.35802709999999999</v>
      </c>
      <c r="F117" s="30">
        <v>1</v>
      </c>
      <c r="G117" s="30">
        <v>5.6428570999999997E-2</v>
      </c>
      <c r="H117" s="30">
        <v>0.26851849999999999</v>
      </c>
      <c r="I117" s="30">
        <v>7.9229850000000004E-2</v>
      </c>
      <c r="J117" s="30">
        <v>0</v>
      </c>
      <c r="K117" s="30">
        <v>8.1779740000000004E-2</v>
      </c>
      <c r="L117" s="30">
        <v>6.6608769999999998E-2</v>
      </c>
    </row>
    <row r="118" spans="2:12" x14ac:dyDescent="0.2">
      <c r="B118" s="30">
        <v>9</v>
      </c>
      <c r="C118" s="30">
        <v>0.1</v>
      </c>
      <c r="D118" s="30">
        <v>4</v>
      </c>
      <c r="E118" s="30">
        <v>0.35802709999999999</v>
      </c>
      <c r="F118" s="30">
        <v>1</v>
      </c>
      <c r="G118" s="30">
        <v>5.6428570999999997E-2</v>
      </c>
      <c r="H118" s="30">
        <v>0.26851849999999999</v>
      </c>
      <c r="I118" s="30">
        <v>7.9229850000000004E-2</v>
      </c>
      <c r="J118" s="30">
        <v>0</v>
      </c>
      <c r="K118" s="30">
        <v>8.1779740000000004E-2</v>
      </c>
      <c r="L118" s="30">
        <v>6.6608769999999998E-2</v>
      </c>
    </row>
    <row r="119" spans="2:12" x14ac:dyDescent="0.2">
      <c r="B119" s="30">
        <v>9</v>
      </c>
      <c r="C119" s="30">
        <v>0.1</v>
      </c>
      <c r="D119" s="30">
        <v>8</v>
      </c>
      <c r="E119" s="30">
        <v>0.35802709999999999</v>
      </c>
      <c r="F119" s="30">
        <v>1</v>
      </c>
      <c r="G119" s="30">
        <v>5.6428570999999997E-2</v>
      </c>
      <c r="H119" s="30">
        <v>0.26851849999999999</v>
      </c>
      <c r="I119" s="30">
        <v>7.9229850000000004E-2</v>
      </c>
      <c r="J119" s="30">
        <v>0</v>
      </c>
      <c r="K119" s="30">
        <v>8.1779740000000004E-2</v>
      </c>
      <c r="L119" s="30">
        <v>6.6608769999999998E-2</v>
      </c>
    </row>
    <row r="120" spans="2:12" x14ac:dyDescent="0.2">
      <c r="B120" s="30">
        <v>10</v>
      </c>
      <c r="C120" s="30">
        <v>0.1</v>
      </c>
      <c r="D120" s="30">
        <v>2</v>
      </c>
      <c r="E120" s="30">
        <v>0.35802709999999999</v>
      </c>
      <c r="F120" s="30">
        <v>1</v>
      </c>
      <c r="G120" s="30">
        <v>5.6428570999999997E-2</v>
      </c>
      <c r="H120" s="30">
        <v>0.26851849999999999</v>
      </c>
      <c r="I120" s="30">
        <v>7.9229850000000004E-2</v>
      </c>
      <c r="J120" s="30">
        <v>0</v>
      </c>
      <c r="K120" s="30">
        <v>8.1779740000000004E-2</v>
      </c>
      <c r="L120" s="30">
        <v>6.6608769999999998E-2</v>
      </c>
    </row>
    <row r="121" spans="2:12" x14ac:dyDescent="0.2">
      <c r="B121" s="30">
        <v>10</v>
      </c>
      <c r="C121" s="30">
        <v>0.1</v>
      </c>
      <c r="D121" s="30">
        <v>4</v>
      </c>
      <c r="E121" s="30">
        <v>0.35802709999999999</v>
      </c>
      <c r="F121" s="30">
        <v>1</v>
      </c>
      <c r="G121" s="30">
        <v>5.6428570999999997E-2</v>
      </c>
      <c r="H121" s="30">
        <v>0.26851849999999999</v>
      </c>
      <c r="I121" s="30">
        <v>7.9229850000000004E-2</v>
      </c>
      <c r="J121" s="30">
        <v>0</v>
      </c>
      <c r="K121" s="30">
        <v>8.1779740000000004E-2</v>
      </c>
      <c r="L121" s="30">
        <v>6.6608769999999998E-2</v>
      </c>
    </row>
    <row r="122" spans="2:12" x14ac:dyDescent="0.2">
      <c r="B122" s="30">
        <v>10</v>
      </c>
      <c r="C122" s="30">
        <v>0.1</v>
      </c>
      <c r="D122" s="30">
        <v>8</v>
      </c>
      <c r="E122" s="30">
        <v>0.35802709999999999</v>
      </c>
      <c r="F122" s="30">
        <v>1</v>
      </c>
      <c r="G122" s="30">
        <v>5.6428570999999997E-2</v>
      </c>
      <c r="H122" s="30">
        <v>0.26851849999999999</v>
      </c>
      <c r="I122" s="30">
        <v>7.9229850000000004E-2</v>
      </c>
      <c r="J122" s="30">
        <v>0</v>
      </c>
      <c r="K122" s="30">
        <v>8.1779740000000004E-2</v>
      </c>
      <c r="L122" s="30">
        <v>6.6608769999999998E-2</v>
      </c>
    </row>
    <row r="123" spans="2:12" x14ac:dyDescent="0.2">
      <c r="B123" s="30">
        <v>0.01</v>
      </c>
      <c r="C123" s="30">
        <v>1</v>
      </c>
      <c r="D123" s="30">
        <v>2</v>
      </c>
      <c r="E123" s="30">
        <v>0.1407902</v>
      </c>
      <c r="F123" s="30" t="s">
        <v>113</v>
      </c>
      <c r="G123" s="30">
        <v>0</v>
      </c>
      <c r="H123" s="30" t="s">
        <v>113</v>
      </c>
      <c r="I123" s="30">
        <v>2.0289149999999999E-2</v>
      </c>
      <c r="J123" s="31" t="s">
        <v>134</v>
      </c>
      <c r="K123" s="30">
        <v>0</v>
      </c>
      <c r="L123" s="31" t="s">
        <v>134</v>
      </c>
    </row>
    <row r="124" spans="2:12" x14ac:dyDescent="0.2">
      <c r="B124" s="30">
        <v>0.01</v>
      </c>
      <c r="C124" s="30">
        <v>1</v>
      </c>
      <c r="D124" s="30">
        <v>4</v>
      </c>
      <c r="E124" s="30">
        <v>0.14155509999999999</v>
      </c>
      <c r="F124" s="30" t="s">
        <v>113</v>
      </c>
      <c r="G124" s="30">
        <v>0</v>
      </c>
      <c r="H124" s="30" t="s">
        <v>113</v>
      </c>
      <c r="I124" s="30">
        <v>2.057527E-2</v>
      </c>
      <c r="J124" s="31" t="s">
        <v>134</v>
      </c>
      <c r="K124" s="30">
        <v>0</v>
      </c>
      <c r="L124" s="31" t="s">
        <v>134</v>
      </c>
    </row>
    <row r="125" spans="2:12" x14ac:dyDescent="0.2">
      <c r="B125" s="30">
        <v>0.01</v>
      </c>
      <c r="C125" s="30">
        <v>1</v>
      </c>
      <c r="D125" s="30">
        <v>8</v>
      </c>
      <c r="E125" s="30">
        <v>0.1407331</v>
      </c>
      <c r="F125" s="30">
        <v>0.19452510000000001</v>
      </c>
      <c r="G125" s="30">
        <v>1</v>
      </c>
      <c r="H125" s="30">
        <v>0.3256038</v>
      </c>
      <c r="I125" s="30">
        <v>2.0108560000000001E-2</v>
      </c>
      <c r="J125" s="30">
        <v>9.0144270000000002E-3</v>
      </c>
      <c r="K125" s="30">
        <v>0</v>
      </c>
      <c r="L125" s="30">
        <v>1.2506339999999999E-2</v>
      </c>
    </row>
    <row r="126" spans="2:12" x14ac:dyDescent="0.2">
      <c r="B126" s="30">
        <v>0.1</v>
      </c>
      <c r="C126" s="30">
        <v>1</v>
      </c>
      <c r="D126" s="30">
        <v>2</v>
      </c>
      <c r="E126" s="30">
        <v>0.14079620000000001</v>
      </c>
      <c r="F126" s="30" t="s">
        <v>113</v>
      </c>
      <c r="G126" s="30">
        <v>0</v>
      </c>
      <c r="H126" s="30" t="s">
        <v>113</v>
      </c>
      <c r="I126" s="30">
        <v>2.0043640000000001E-2</v>
      </c>
      <c r="J126" s="31" t="s">
        <v>134</v>
      </c>
      <c r="K126" s="30">
        <v>0</v>
      </c>
      <c r="L126" s="31" t="s">
        <v>134</v>
      </c>
    </row>
    <row r="127" spans="2:12" x14ac:dyDescent="0.2">
      <c r="B127" s="30">
        <v>0.1</v>
      </c>
      <c r="C127" s="30">
        <v>1</v>
      </c>
      <c r="D127" s="30">
        <v>4</v>
      </c>
      <c r="E127" s="30">
        <v>0.14073179999999999</v>
      </c>
      <c r="F127" s="30" t="s">
        <v>113</v>
      </c>
      <c r="G127" s="30">
        <v>0</v>
      </c>
      <c r="H127" s="30" t="s">
        <v>113</v>
      </c>
      <c r="I127" s="30">
        <v>2.0024449999999999E-2</v>
      </c>
      <c r="J127" s="31" t="s">
        <v>134</v>
      </c>
      <c r="K127" s="30">
        <v>0</v>
      </c>
      <c r="L127" s="31" t="s">
        <v>134</v>
      </c>
    </row>
    <row r="128" spans="2:12" x14ac:dyDescent="0.2">
      <c r="B128" s="30">
        <v>0.1</v>
      </c>
      <c r="C128" s="30">
        <v>1</v>
      </c>
      <c r="D128" s="30">
        <v>8</v>
      </c>
      <c r="E128" s="30">
        <v>0.1406906</v>
      </c>
      <c r="F128" s="30">
        <v>0.19452510000000001</v>
      </c>
      <c r="G128" s="30">
        <v>1</v>
      </c>
      <c r="H128" s="30">
        <v>0.3256038</v>
      </c>
      <c r="I128" s="30">
        <v>2.0016329999999999E-2</v>
      </c>
      <c r="J128" s="30">
        <v>9.0144270000000002E-3</v>
      </c>
      <c r="K128" s="30">
        <v>0</v>
      </c>
      <c r="L128" s="30">
        <v>1.2506339999999999E-2</v>
      </c>
    </row>
    <row r="129" spans="2:12" x14ac:dyDescent="0.2">
      <c r="B129" s="30">
        <v>0.5</v>
      </c>
      <c r="C129" s="30">
        <v>1</v>
      </c>
      <c r="D129" s="30">
        <v>2</v>
      </c>
      <c r="E129" s="30">
        <v>0.1407524</v>
      </c>
      <c r="F129" s="30" t="s">
        <v>113</v>
      </c>
      <c r="G129" s="30">
        <v>0</v>
      </c>
      <c r="H129" s="30" t="s">
        <v>113</v>
      </c>
      <c r="I129" s="30">
        <v>1.9987649999999999E-2</v>
      </c>
      <c r="J129" s="31" t="s">
        <v>134</v>
      </c>
      <c r="K129" s="30">
        <v>0</v>
      </c>
      <c r="L129" s="31" t="s">
        <v>134</v>
      </c>
    </row>
    <row r="130" spans="2:12" x14ac:dyDescent="0.2">
      <c r="B130" s="30">
        <v>0.5</v>
      </c>
      <c r="C130" s="30">
        <v>1</v>
      </c>
      <c r="D130" s="30">
        <v>4</v>
      </c>
      <c r="E130" s="30">
        <v>0.14073630000000001</v>
      </c>
      <c r="F130" s="30" t="s">
        <v>113</v>
      </c>
      <c r="G130" s="30">
        <v>0</v>
      </c>
      <c r="H130" s="30" t="s">
        <v>113</v>
      </c>
      <c r="I130" s="30">
        <v>2.0003119999999999E-2</v>
      </c>
      <c r="J130" s="31" t="s">
        <v>134</v>
      </c>
      <c r="K130" s="30">
        <v>0</v>
      </c>
      <c r="L130" s="31" t="s">
        <v>134</v>
      </c>
    </row>
    <row r="131" spans="2:12" x14ac:dyDescent="0.2">
      <c r="B131" s="30">
        <v>0.5</v>
      </c>
      <c r="C131" s="30">
        <v>1</v>
      </c>
      <c r="D131" s="30">
        <v>8</v>
      </c>
      <c r="E131" s="30">
        <v>0.14072109999999999</v>
      </c>
      <c r="F131" s="30" t="s">
        <v>113</v>
      </c>
      <c r="G131" s="30">
        <v>0</v>
      </c>
      <c r="H131" s="30" t="s">
        <v>113</v>
      </c>
      <c r="I131" s="30">
        <v>2.0022189999999999E-2</v>
      </c>
      <c r="J131" s="31" t="s">
        <v>134</v>
      </c>
      <c r="K131" s="30">
        <v>0</v>
      </c>
      <c r="L131" s="31" t="s">
        <v>134</v>
      </c>
    </row>
    <row r="132" spans="2:12" x14ac:dyDescent="0.2">
      <c r="B132" s="30">
        <v>1</v>
      </c>
      <c r="C132" s="30">
        <v>1</v>
      </c>
      <c r="D132" s="30">
        <v>2</v>
      </c>
      <c r="E132" s="30">
        <v>0.14072109999999999</v>
      </c>
      <c r="F132" s="30" t="s">
        <v>113</v>
      </c>
      <c r="G132" s="30">
        <v>0</v>
      </c>
      <c r="H132" s="30" t="s">
        <v>113</v>
      </c>
      <c r="I132" s="30">
        <v>2.0022189999999999E-2</v>
      </c>
      <c r="J132" s="31" t="s">
        <v>134</v>
      </c>
      <c r="K132" s="30">
        <v>0</v>
      </c>
      <c r="L132" s="31" t="s">
        <v>134</v>
      </c>
    </row>
    <row r="133" spans="2:12" x14ac:dyDescent="0.2">
      <c r="B133" s="30">
        <v>1</v>
      </c>
      <c r="C133" s="30">
        <v>1</v>
      </c>
      <c r="D133" s="30">
        <v>4</v>
      </c>
      <c r="E133" s="30">
        <v>0.1407313</v>
      </c>
      <c r="F133" s="30" t="s">
        <v>113</v>
      </c>
      <c r="G133" s="30">
        <v>0</v>
      </c>
      <c r="H133" s="30" t="s">
        <v>113</v>
      </c>
      <c r="I133" s="30">
        <v>1.9997000000000001E-2</v>
      </c>
      <c r="J133" s="31" t="s">
        <v>134</v>
      </c>
      <c r="K133" s="30">
        <v>0</v>
      </c>
      <c r="L133" s="31" t="s">
        <v>134</v>
      </c>
    </row>
    <row r="134" spans="2:12" x14ac:dyDescent="0.2">
      <c r="B134" s="30">
        <v>1</v>
      </c>
      <c r="C134" s="30">
        <v>1</v>
      </c>
      <c r="D134" s="30">
        <v>8</v>
      </c>
      <c r="E134" s="30">
        <v>0.14072399999999999</v>
      </c>
      <c r="F134" s="30" t="s">
        <v>113</v>
      </c>
      <c r="G134" s="30">
        <v>0</v>
      </c>
      <c r="H134" s="30" t="s">
        <v>113</v>
      </c>
      <c r="I134" s="30">
        <v>2.0018169999999998E-2</v>
      </c>
      <c r="J134" s="31" t="s">
        <v>134</v>
      </c>
      <c r="K134" s="30">
        <v>0</v>
      </c>
      <c r="L134" s="31" t="s">
        <v>134</v>
      </c>
    </row>
    <row r="135" spans="2:12" x14ac:dyDescent="0.2">
      <c r="B135" s="30">
        <v>2</v>
      </c>
      <c r="C135" s="30">
        <v>1</v>
      </c>
      <c r="D135" s="30">
        <v>2</v>
      </c>
      <c r="E135" s="30">
        <v>0.14072399999999999</v>
      </c>
      <c r="F135" s="30" t="s">
        <v>113</v>
      </c>
      <c r="G135" s="30">
        <v>0</v>
      </c>
      <c r="H135" s="30" t="s">
        <v>113</v>
      </c>
      <c r="I135" s="30">
        <v>2.0018169999999998E-2</v>
      </c>
      <c r="J135" s="31" t="s">
        <v>134</v>
      </c>
      <c r="K135" s="30">
        <v>0</v>
      </c>
      <c r="L135" s="31" t="s">
        <v>134</v>
      </c>
    </row>
    <row r="136" spans="2:12" x14ac:dyDescent="0.2">
      <c r="B136" s="30">
        <v>2</v>
      </c>
      <c r="C136" s="30">
        <v>1</v>
      </c>
      <c r="D136" s="30">
        <v>4</v>
      </c>
      <c r="E136" s="30">
        <v>0.14072399999999999</v>
      </c>
      <c r="F136" s="30" t="s">
        <v>113</v>
      </c>
      <c r="G136" s="30">
        <v>0</v>
      </c>
      <c r="H136" s="30" t="s">
        <v>113</v>
      </c>
      <c r="I136" s="30">
        <v>2.0018169999999998E-2</v>
      </c>
      <c r="J136" s="31" t="s">
        <v>134</v>
      </c>
      <c r="K136" s="30">
        <v>0</v>
      </c>
      <c r="L136" s="31" t="s">
        <v>134</v>
      </c>
    </row>
    <row r="137" spans="2:12" x14ac:dyDescent="0.2">
      <c r="B137" s="30">
        <v>2</v>
      </c>
      <c r="C137" s="30">
        <v>1</v>
      </c>
      <c r="D137" s="30">
        <v>8</v>
      </c>
      <c r="E137" s="30">
        <v>0.14071910000000001</v>
      </c>
      <c r="F137" s="30" t="s">
        <v>113</v>
      </c>
      <c r="G137" s="30">
        <v>0</v>
      </c>
      <c r="H137" s="30" t="s">
        <v>113</v>
      </c>
      <c r="I137" s="30">
        <v>2.001205E-2</v>
      </c>
      <c r="J137" s="31" t="s">
        <v>134</v>
      </c>
      <c r="K137" s="30">
        <v>0</v>
      </c>
      <c r="L137" s="31" t="s">
        <v>134</v>
      </c>
    </row>
    <row r="138" spans="2:12" x14ac:dyDescent="0.2">
      <c r="B138" s="30">
        <v>3</v>
      </c>
      <c r="C138" s="30">
        <v>1</v>
      </c>
      <c r="D138" s="30">
        <v>2</v>
      </c>
      <c r="E138" s="30">
        <v>0.14072399999999999</v>
      </c>
      <c r="F138" s="30" t="s">
        <v>113</v>
      </c>
      <c r="G138" s="30">
        <v>0</v>
      </c>
      <c r="H138" s="30" t="s">
        <v>113</v>
      </c>
      <c r="I138" s="30">
        <v>2.0018169999999998E-2</v>
      </c>
      <c r="J138" s="31" t="s">
        <v>134</v>
      </c>
      <c r="K138" s="30">
        <v>0</v>
      </c>
      <c r="L138" s="31" t="s">
        <v>134</v>
      </c>
    </row>
    <row r="139" spans="2:12" x14ac:dyDescent="0.2">
      <c r="B139" s="30">
        <v>3</v>
      </c>
      <c r="C139" s="30">
        <v>1</v>
      </c>
      <c r="D139" s="30">
        <v>4</v>
      </c>
      <c r="E139" s="30">
        <v>0.14073630000000001</v>
      </c>
      <c r="F139" s="30" t="s">
        <v>113</v>
      </c>
      <c r="G139" s="30">
        <v>0</v>
      </c>
      <c r="H139" s="30" t="s">
        <v>113</v>
      </c>
      <c r="I139" s="30">
        <v>2.0003119999999999E-2</v>
      </c>
      <c r="J139" s="31" t="s">
        <v>134</v>
      </c>
      <c r="K139" s="30">
        <v>0</v>
      </c>
      <c r="L139" s="31" t="s">
        <v>134</v>
      </c>
    </row>
    <row r="140" spans="2:12" x14ac:dyDescent="0.2">
      <c r="B140" s="30">
        <v>3</v>
      </c>
      <c r="C140" s="30">
        <v>1</v>
      </c>
      <c r="D140" s="30">
        <v>8</v>
      </c>
      <c r="E140" s="30">
        <v>0.14071910000000001</v>
      </c>
      <c r="F140" s="30" t="s">
        <v>113</v>
      </c>
      <c r="G140" s="30">
        <v>0</v>
      </c>
      <c r="H140" s="30" t="s">
        <v>113</v>
      </c>
      <c r="I140" s="30">
        <v>2.001205E-2</v>
      </c>
      <c r="J140" s="31" t="s">
        <v>134</v>
      </c>
      <c r="K140" s="30">
        <v>0</v>
      </c>
      <c r="L140" s="31" t="s">
        <v>134</v>
      </c>
    </row>
    <row r="141" spans="2:12" x14ac:dyDescent="0.2">
      <c r="B141" s="30">
        <v>4</v>
      </c>
      <c r="C141" s="30">
        <v>1</v>
      </c>
      <c r="D141" s="30">
        <v>2</v>
      </c>
      <c r="E141" s="30">
        <v>0.14072399999999999</v>
      </c>
      <c r="F141" s="30" t="s">
        <v>113</v>
      </c>
      <c r="G141" s="30">
        <v>0</v>
      </c>
      <c r="H141" s="30" t="s">
        <v>113</v>
      </c>
      <c r="I141" s="30">
        <v>2.0018169999999998E-2</v>
      </c>
      <c r="J141" s="31" t="s">
        <v>134</v>
      </c>
      <c r="K141" s="30">
        <v>0</v>
      </c>
      <c r="L141" s="31" t="s">
        <v>134</v>
      </c>
    </row>
    <row r="142" spans="2:12" x14ac:dyDescent="0.2">
      <c r="B142" s="30">
        <v>4</v>
      </c>
      <c r="C142" s="30">
        <v>1</v>
      </c>
      <c r="D142" s="30">
        <v>4</v>
      </c>
      <c r="E142" s="30">
        <v>0.1407313</v>
      </c>
      <c r="F142" s="30" t="s">
        <v>113</v>
      </c>
      <c r="G142" s="30">
        <v>0</v>
      </c>
      <c r="H142" s="30" t="s">
        <v>113</v>
      </c>
      <c r="I142" s="30">
        <v>1.9997000000000001E-2</v>
      </c>
      <c r="J142" s="31" t="s">
        <v>134</v>
      </c>
      <c r="K142" s="30">
        <v>0</v>
      </c>
      <c r="L142" s="31" t="s">
        <v>134</v>
      </c>
    </row>
    <row r="143" spans="2:12" x14ac:dyDescent="0.2">
      <c r="B143" s="30">
        <v>4</v>
      </c>
      <c r="C143" s="30">
        <v>1</v>
      </c>
      <c r="D143" s="30">
        <v>8</v>
      </c>
      <c r="E143" s="30">
        <v>0.14072399999999999</v>
      </c>
      <c r="F143" s="30" t="s">
        <v>113</v>
      </c>
      <c r="G143" s="30">
        <v>0</v>
      </c>
      <c r="H143" s="30" t="s">
        <v>113</v>
      </c>
      <c r="I143" s="30">
        <v>2.0018169999999998E-2</v>
      </c>
      <c r="J143" s="31" t="s">
        <v>134</v>
      </c>
      <c r="K143" s="30">
        <v>0</v>
      </c>
      <c r="L143" s="31" t="s">
        <v>134</v>
      </c>
    </row>
    <row r="144" spans="2:12" x14ac:dyDescent="0.2">
      <c r="B144" s="30">
        <v>5</v>
      </c>
      <c r="C144" s="30">
        <v>1</v>
      </c>
      <c r="D144" s="30">
        <v>2</v>
      </c>
      <c r="E144" s="30">
        <v>0.14072850000000001</v>
      </c>
      <c r="F144" s="30" t="s">
        <v>113</v>
      </c>
      <c r="G144" s="30">
        <v>0</v>
      </c>
      <c r="H144" s="30" t="s">
        <v>113</v>
      </c>
      <c r="I144" s="30">
        <v>2.000101E-2</v>
      </c>
      <c r="J144" s="31" t="s">
        <v>134</v>
      </c>
      <c r="K144" s="30">
        <v>0</v>
      </c>
      <c r="L144" s="31" t="s">
        <v>134</v>
      </c>
    </row>
    <row r="145" spans="2:12" x14ac:dyDescent="0.2">
      <c r="B145" s="30">
        <v>5</v>
      </c>
      <c r="C145" s="30">
        <v>1</v>
      </c>
      <c r="D145" s="30">
        <v>4</v>
      </c>
      <c r="E145" s="30">
        <v>0.14072399999999999</v>
      </c>
      <c r="F145" s="30" t="s">
        <v>113</v>
      </c>
      <c r="G145" s="30">
        <v>0</v>
      </c>
      <c r="H145" s="30" t="s">
        <v>113</v>
      </c>
      <c r="I145" s="30">
        <v>2.0018169999999998E-2</v>
      </c>
      <c r="J145" s="31" t="s">
        <v>134</v>
      </c>
      <c r="K145" s="30">
        <v>0</v>
      </c>
      <c r="L145" s="31" t="s">
        <v>134</v>
      </c>
    </row>
    <row r="146" spans="2:12" x14ac:dyDescent="0.2">
      <c r="B146" s="30">
        <v>5</v>
      </c>
      <c r="C146" s="30">
        <v>1</v>
      </c>
      <c r="D146" s="30">
        <v>8</v>
      </c>
      <c r="E146" s="30">
        <v>0.14073630000000001</v>
      </c>
      <c r="F146" s="30" t="s">
        <v>113</v>
      </c>
      <c r="G146" s="30">
        <v>0</v>
      </c>
      <c r="H146" s="30" t="s">
        <v>113</v>
      </c>
      <c r="I146" s="30">
        <v>2.0003119999999999E-2</v>
      </c>
      <c r="J146" s="31" t="s">
        <v>134</v>
      </c>
      <c r="K146" s="30">
        <v>0</v>
      </c>
      <c r="L146" s="31" t="s">
        <v>134</v>
      </c>
    </row>
    <row r="147" spans="2:12" x14ac:dyDescent="0.2">
      <c r="B147" s="30">
        <v>6</v>
      </c>
      <c r="C147" s="30">
        <v>1</v>
      </c>
      <c r="D147" s="30">
        <v>2</v>
      </c>
      <c r="E147" s="30">
        <v>0.14073630000000001</v>
      </c>
      <c r="F147" s="30" t="s">
        <v>113</v>
      </c>
      <c r="G147" s="30">
        <v>0</v>
      </c>
      <c r="H147" s="30" t="s">
        <v>113</v>
      </c>
      <c r="I147" s="30">
        <v>2.0003119999999999E-2</v>
      </c>
      <c r="J147" s="31" t="s">
        <v>134</v>
      </c>
      <c r="K147" s="30">
        <v>0</v>
      </c>
      <c r="L147" s="31" t="s">
        <v>134</v>
      </c>
    </row>
    <row r="148" spans="2:12" x14ac:dyDescent="0.2">
      <c r="B148" s="30">
        <v>6</v>
      </c>
      <c r="C148" s="30">
        <v>1</v>
      </c>
      <c r="D148" s="30">
        <v>4</v>
      </c>
      <c r="E148" s="30">
        <v>0.1407313</v>
      </c>
      <c r="F148" s="30" t="s">
        <v>113</v>
      </c>
      <c r="G148" s="30">
        <v>0</v>
      </c>
      <c r="H148" s="30" t="s">
        <v>113</v>
      </c>
      <c r="I148" s="30">
        <v>1.9997000000000001E-2</v>
      </c>
      <c r="J148" s="31" t="s">
        <v>134</v>
      </c>
      <c r="K148" s="30">
        <v>0</v>
      </c>
      <c r="L148" s="31" t="s">
        <v>134</v>
      </c>
    </row>
    <row r="149" spans="2:12" x14ac:dyDescent="0.2">
      <c r="B149" s="30">
        <v>6</v>
      </c>
      <c r="C149" s="30">
        <v>1</v>
      </c>
      <c r="D149" s="30">
        <v>8</v>
      </c>
      <c r="E149" s="30">
        <v>0.14071620000000001</v>
      </c>
      <c r="F149" s="30" t="s">
        <v>113</v>
      </c>
      <c r="G149" s="30">
        <v>0</v>
      </c>
      <c r="H149" s="30" t="s">
        <v>113</v>
      </c>
      <c r="I149" s="30">
        <v>2.0016059999999999E-2</v>
      </c>
      <c r="J149" s="31" t="s">
        <v>134</v>
      </c>
      <c r="K149" s="30">
        <v>0</v>
      </c>
      <c r="L149" s="31" t="s">
        <v>134</v>
      </c>
    </row>
    <row r="150" spans="2:12" x14ac:dyDescent="0.2">
      <c r="B150" s="30">
        <v>7</v>
      </c>
      <c r="C150" s="30">
        <v>1</v>
      </c>
      <c r="D150" s="30">
        <v>2</v>
      </c>
      <c r="E150" s="30">
        <v>0.14071620000000001</v>
      </c>
      <c r="F150" s="30" t="s">
        <v>113</v>
      </c>
      <c r="G150" s="30">
        <v>0</v>
      </c>
      <c r="H150" s="30" t="s">
        <v>113</v>
      </c>
      <c r="I150" s="30">
        <v>2.0016059999999999E-2</v>
      </c>
      <c r="J150" s="31" t="s">
        <v>134</v>
      </c>
      <c r="K150" s="30">
        <v>0</v>
      </c>
      <c r="L150" s="31" t="s">
        <v>134</v>
      </c>
    </row>
    <row r="151" spans="2:12" x14ac:dyDescent="0.2">
      <c r="B151" s="30">
        <v>7</v>
      </c>
      <c r="C151" s="30">
        <v>1</v>
      </c>
      <c r="D151" s="30">
        <v>4</v>
      </c>
      <c r="E151" s="30">
        <v>0.14071910000000001</v>
      </c>
      <c r="F151" s="30" t="s">
        <v>113</v>
      </c>
      <c r="G151" s="30">
        <v>0</v>
      </c>
      <c r="H151" s="30" t="s">
        <v>113</v>
      </c>
      <c r="I151" s="30">
        <v>2.001205E-2</v>
      </c>
      <c r="J151" s="31" t="s">
        <v>134</v>
      </c>
      <c r="K151" s="30">
        <v>0</v>
      </c>
      <c r="L151" s="31" t="s">
        <v>134</v>
      </c>
    </row>
    <row r="152" spans="2:12" x14ac:dyDescent="0.2">
      <c r="B152" s="30">
        <v>7</v>
      </c>
      <c r="C152" s="30">
        <v>1</v>
      </c>
      <c r="D152" s="30">
        <v>8</v>
      </c>
      <c r="E152" s="30">
        <v>0.14072399999999999</v>
      </c>
      <c r="F152" s="30" t="s">
        <v>113</v>
      </c>
      <c r="G152" s="30">
        <v>0</v>
      </c>
      <c r="H152" s="30" t="s">
        <v>113</v>
      </c>
      <c r="I152" s="30">
        <v>2.0018169999999998E-2</v>
      </c>
      <c r="J152" s="31" t="s">
        <v>134</v>
      </c>
      <c r="K152" s="30">
        <v>0</v>
      </c>
      <c r="L152" s="31" t="s">
        <v>134</v>
      </c>
    </row>
    <row r="153" spans="2:12" x14ac:dyDescent="0.2">
      <c r="B153" s="30">
        <v>8</v>
      </c>
      <c r="C153" s="30">
        <v>1</v>
      </c>
      <c r="D153" s="30">
        <v>2</v>
      </c>
      <c r="E153" s="30">
        <v>0.14071620000000001</v>
      </c>
      <c r="F153" s="30" t="s">
        <v>113</v>
      </c>
      <c r="G153" s="30">
        <v>0</v>
      </c>
      <c r="H153" s="30" t="s">
        <v>113</v>
      </c>
      <c r="I153" s="30">
        <v>2.0016059999999999E-2</v>
      </c>
      <c r="J153" s="31" t="s">
        <v>134</v>
      </c>
      <c r="K153" s="30">
        <v>0</v>
      </c>
      <c r="L153" s="31" t="s">
        <v>134</v>
      </c>
    </row>
    <row r="154" spans="2:12" x14ac:dyDescent="0.2">
      <c r="B154" s="30">
        <v>8</v>
      </c>
      <c r="C154" s="30">
        <v>1</v>
      </c>
      <c r="D154" s="30">
        <v>4</v>
      </c>
      <c r="E154" s="30">
        <v>0.14072399999999999</v>
      </c>
      <c r="F154" s="30" t="s">
        <v>113</v>
      </c>
      <c r="G154" s="30">
        <v>0</v>
      </c>
      <c r="H154" s="30" t="s">
        <v>113</v>
      </c>
      <c r="I154" s="30">
        <v>2.0018169999999998E-2</v>
      </c>
      <c r="J154" s="31" t="s">
        <v>134</v>
      </c>
      <c r="K154" s="30">
        <v>0</v>
      </c>
      <c r="L154" s="31" t="s">
        <v>134</v>
      </c>
    </row>
    <row r="155" spans="2:12" x14ac:dyDescent="0.2">
      <c r="B155" s="30">
        <v>8</v>
      </c>
      <c r="C155" s="30">
        <v>1</v>
      </c>
      <c r="D155" s="30">
        <v>8</v>
      </c>
      <c r="E155" s="30">
        <v>0.14072399999999999</v>
      </c>
      <c r="F155" s="30" t="s">
        <v>113</v>
      </c>
      <c r="G155" s="30">
        <v>0</v>
      </c>
      <c r="H155" s="30" t="s">
        <v>113</v>
      </c>
      <c r="I155" s="30">
        <v>2.0018169999999998E-2</v>
      </c>
      <c r="J155" s="31" t="s">
        <v>134</v>
      </c>
      <c r="K155" s="30">
        <v>0</v>
      </c>
      <c r="L155" s="31" t="s">
        <v>134</v>
      </c>
    </row>
    <row r="156" spans="2:12" x14ac:dyDescent="0.2">
      <c r="B156" s="30">
        <v>9</v>
      </c>
      <c r="C156" s="30">
        <v>1</v>
      </c>
      <c r="D156" s="30">
        <v>2</v>
      </c>
      <c r="E156" s="30">
        <v>0.14072109999999999</v>
      </c>
      <c r="F156" s="30" t="s">
        <v>113</v>
      </c>
      <c r="G156" s="30">
        <v>0</v>
      </c>
      <c r="H156" s="30" t="s">
        <v>113</v>
      </c>
      <c r="I156" s="30">
        <v>2.0022189999999999E-2</v>
      </c>
      <c r="J156" s="31" t="s">
        <v>134</v>
      </c>
      <c r="K156" s="30">
        <v>0</v>
      </c>
      <c r="L156" s="31" t="s">
        <v>134</v>
      </c>
    </row>
    <row r="157" spans="2:12" x14ac:dyDescent="0.2">
      <c r="B157" s="30">
        <v>9</v>
      </c>
      <c r="C157" s="30">
        <v>1</v>
      </c>
      <c r="D157" s="30">
        <v>4</v>
      </c>
      <c r="E157" s="30">
        <v>0.14072109999999999</v>
      </c>
      <c r="F157" s="30" t="s">
        <v>113</v>
      </c>
      <c r="G157" s="30">
        <v>0</v>
      </c>
      <c r="H157" s="30" t="s">
        <v>113</v>
      </c>
      <c r="I157" s="30">
        <v>2.0022189999999999E-2</v>
      </c>
      <c r="J157" s="31" t="s">
        <v>134</v>
      </c>
      <c r="K157" s="30">
        <v>0</v>
      </c>
      <c r="L157" s="31" t="s">
        <v>134</v>
      </c>
    </row>
    <row r="158" spans="2:12" x14ac:dyDescent="0.2">
      <c r="B158" s="30">
        <v>9</v>
      </c>
      <c r="C158" s="30">
        <v>1</v>
      </c>
      <c r="D158" s="30">
        <v>8</v>
      </c>
      <c r="E158" s="30">
        <v>0.14072850000000001</v>
      </c>
      <c r="F158" s="30" t="s">
        <v>113</v>
      </c>
      <c r="G158" s="30">
        <v>0</v>
      </c>
      <c r="H158" s="30" t="s">
        <v>113</v>
      </c>
      <c r="I158" s="30">
        <v>2.000101E-2</v>
      </c>
      <c r="J158" s="31" t="s">
        <v>134</v>
      </c>
      <c r="K158" s="30">
        <v>0</v>
      </c>
      <c r="L158" s="31" t="s">
        <v>134</v>
      </c>
    </row>
    <row r="159" spans="2:12" x14ac:dyDescent="0.2">
      <c r="B159" s="30">
        <v>10</v>
      </c>
      <c r="C159" s="30">
        <v>1</v>
      </c>
      <c r="D159" s="30">
        <v>2</v>
      </c>
      <c r="E159" s="30">
        <v>0.14073630000000001</v>
      </c>
      <c r="F159" s="30" t="s">
        <v>113</v>
      </c>
      <c r="G159" s="30">
        <v>0</v>
      </c>
      <c r="H159" s="30" t="s">
        <v>113</v>
      </c>
      <c r="I159" s="30">
        <v>2.0003119999999999E-2</v>
      </c>
      <c r="J159" s="31" t="s">
        <v>134</v>
      </c>
      <c r="K159" s="30">
        <v>0</v>
      </c>
      <c r="L159" s="31" t="s">
        <v>134</v>
      </c>
    </row>
    <row r="160" spans="2:12" x14ac:dyDescent="0.2">
      <c r="B160" s="30">
        <v>10</v>
      </c>
      <c r="C160" s="30">
        <v>1</v>
      </c>
      <c r="D160" s="30">
        <v>4</v>
      </c>
      <c r="E160" s="30">
        <v>0.14071910000000001</v>
      </c>
      <c r="F160" s="30" t="s">
        <v>113</v>
      </c>
      <c r="G160" s="30">
        <v>0</v>
      </c>
      <c r="H160" s="30" t="s">
        <v>113</v>
      </c>
      <c r="I160" s="30">
        <v>2.001205E-2</v>
      </c>
      <c r="J160" s="31" t="s">
        <v>134</v>
      </c>
      <c r="K160" s="30">
        <v>0</v>
      </c>
      <c r="L160" s="31" t="s">
        <v>134</v>
      </c>
    </row>
    <row r="161" spans="2:12" x14ac:dyDescent="0.2">
      <c r="B161" s="30">
        <v>10</v>
      </c>
      <c r="C161" s="30">
        <v>1</v>
      </c>
      <c r="D161" s="30">
        <v>8</v>
      </c>
      <c r="E161" s="30">
        <v>0.14072399999999999</v>
      </c>
      <c r="F161" s="30" t="s">
        <v>113</v>
      </c>
      <c r="G161" s="30">
        <v>0</v>
      </c>
      <c r="H161" s="30" t="s">
        <v>113</v>
      </c>
      <c r="I161" s="30">
        <v>2.0018169999999998E-2</v>
      </c>
      <c r="J161" s="31" t="s">
        <v>134</v>
      </c>
      <c r="K161" s="30">
        <v>0</v>
      </c>
      <c r="L161" s="31" t="s">
        <v>134</v>
      </c>
    </row>
    <row r="162" spans="2:12" x14ac:dyDescent="0.2">
      <c r="B162" s="30">
        <v>0.01</v>
      </c>
      <c r="C162" s="30">
        <v>2</v>
      </c>
      <c r="D162" s="30">
        <v>2</v>
      </c>
      <c r="E162" s="30">
        <v>0.124072</v>
      </c>
      <c r="F162" s="30" t="s">
        <v>113</v>
      </c>
      <c r="G162" s="30">
        <v>0</v>
      </c>
      <c r="H162" s="30" t="s">
        <v>113</v>
      </c>
      <c r="I162" s="30">
        <v>3.1358539999999997E-2</v>
      </c>
      <c r="J162" s="31" t="s">
        <v>134</v>
      </c>
      <c r="K162" s="30">
        <v>0</v>
      </c>
      <c r="L162" s="31" t="s">
        <v>134</v>
      </c>
    </row>
    <row r="163" spans="2:12" x14ac:dyDescent="0.2">
      <c r="B163" s="30">
        <v>0.01</v>
      </c>
      <c r="C163" s="30">
        <v>2</v>
      </c>
      <c r="D163" s="30">
        <v>4</v>
      </c>
      <c r="E163" s="30">
        <v>0.12812460000000001</v>
      </c>
      <c r="F163" s="30" t="s">
        <v>113</v>
      </c>
      <c r="G163" s="30">
        <v>0</v>
      </c>
      <c r="H163" s="30" t="s">
        <v>113</v>
      </c>
      <c r="I163" s="30">
        <v>3.6661109999999997E-2</v>
      </c>
      <c r="J163" s="31" t="s">
        <v>134</v>
      </c>
      <c r="K163" s="30">
        <v>0</v>
      </c>
      <c r="L163" s="31" t="s">
        <v>134</v>
      </c>
    </row>
    <row r="164" spans="2:12" x14ac:dyDescent="0.2">
      <c r="B164" s="30">
        <v>0.01</v>
      </c>
      <c r="C164" s="30">
        <v>2</v>
      </c>
      <c r="D164" s="30">
        <v>8</v>
      </c>
      <c r="E164" s="30">
        <v>0.1219633</v>
      </c>
      <c r="F164" s="30">
        <v>0.19452510000000001</v>
      </c>
      <c r="G164" s="30">
        <v>1</v>
      </c>
      <c r="H164" s="30">
        <v>0.3256038</v>
      </c>
      <c r="I164" s="30">
        <v>2.6840989999999999E-2</v>
      </c>
      <c r="J164" s="30">
        <v>9.0144270000000002E-3</v>
      </c>
      <c r="K164" s="30">
        <v>0</v>
      </c>
      <c r="L164" s="30">
        <v>1.2506339999999999E-2</v>
      </c>
    </row>
    <row r="165" spans="2:12" x14ac:dyDescent="0.2">
      <c r="B165" s="30">
        <v>0.1</v>
      </c>
      <c r="C165" s="30">
        <v>2</v>
      </c>
      <c r="D165" s="30">
        <v>2</v>
      </c>
      <c r="E165" s="30">
        <v>0.1244736</v>
      </c>
      <c r="F165" s="30" t="s">
        <v>113</v>
      </c>
      <c r="G165" s="30">
        <v>0</v>
      </c>
      <c r="H165" s="30" t="s">
        <v>113</v>
      </c>
      <c r="I165" s="30">
        <v>2.4812000000000001E-2</v>
      </c>
      <c r="J165" s="31" t="s">
        <v>134</v>
      </c>
      <c r="K165" s="30">
        <v>0</v>
      </c>
      <c r="L165" s="31" t="s">
        <v>134</v>
      </c>
    </row>
    <row r="166" spans="2:12" x14ac:dyDescent="0.2">
      <c r="B166" s="30">
        <v>0.1</v>
      </c>
      <c r="C166" s="30">
        <v>2</v>
      </c>
      <c r="D166" s="30">
        <v>4</v>
      </c>
      <c r="E166" s="30">
        <v>0.1210649</v>
      </c>
      <c r="F166" s="30" t="s">
        <v>113</v>
      </c>
      <c r="G166" s="30">
        <v>0</v>
      </c>
      <c r="H166" s="30" t="s">
        <v>113</v>
      </c>
      <c r="I166" s="30">
        <v>2.808478E-2</v>
      </c>
      <c r="J166" s="31" t="s">
        <v>134</v>
      </c>
      <c r="K166" s="30">
        <v>0</v>
      </c>
      <c r="L166" s="31" t="s">
        <v>134</v>
      </c>
    </row>
    <row r="167" spans="2:12" x14ac:dyDescent="0.2">
      <c r="B167" s="30">
        <v>0.1</v>
      </c>
      <c r="C167" s="30">
        <v>2</v>
      </c>
      <c r="D167" s="30">
        <v>8</v>
      </c>
      <c r="E167" s="30">
        <v>0.124934</v>
      </c>
      <c r="F167" s="30">
        <v>0.19452510000000001</v>
      </c>
      <c r="G167" s="30">
        <v>1</v>
      </c>
      <c r="H167" s="30">
        <v>0.3256038</v>
      </c>
      <c r="I167" s="30">
        <v>2.6295180000000001E-2</v>
      </c>
      <c r="J167" s="30">
        <v>9.0144270000000002E-3</v>
      </c>
      <c r="K167" s="30">
        <v>0</v>
      </c>
      <c r="L167" s="30">
        <v>1.2506339999999999E-2</v>
      </c>
    </row>
    <row r="168" spans="2:12" x14ac:dyDescent="0.2">
      <c r="B168" s="30">
        <v>0.5</v>
      </c>
      <c r="C168" s="30">
        <v>2</v>
      </c>
      <c r="D168" s="30">
        <v>2</v>
      </c>
      <c r="E168" s="30">
        <v>0.12632199999999999</v>
      </c>
      <c r="F168" s="30" t="s">
        <v>113</v>
      </c>
      <c r="G168" s="30">
        <v>0</v>
      </c>
      <c r="H168" s="30" t="s">
        <v>113</v>
      </c>
      <c r="I168" s="30">
        <v>2.4735259999999998E-2</v>
      </c>
      <c r="J168" s="31" t="s">
        <v>134</v>
      </c>
      <c r="K168" s="30">
        <v>0</v>
      </c>
      <c r="L168" s="31" t="s">
        <v>134</v>
      </c>
    </row>
    <row r="169" spans="2:12" x14ac:dyDescent="0.2">
      <c r="B169" s="30">
        <v>0.5</v>
      </c>
      <c r="C169" s="30">
        <v>2</v>
      </c>
      <c r="D169" s="30">
        <v>4</v>
      </c>
      <c r="E169" s="30">
        <v>0.1284701</v>
      </c>
      <c r="F169" s="30" t="s">
        <v>113</v>
      </c>
      <c r="G169" s="30">
        <v>0</v>
      </c>
      <c r="H169" s="30" t="s">
        <v>113</v>
      </c>
      <c r="I169" s="30">
        <v>2.4849280000000001E-2</v>
      </c>
      <c r="J169" s="31" t="s">
        <v>134</v>
      </c>
      <c r="K169" s="30">
        <v>0</v>
      </c>
      <c r="L169" s="31" t="s">
        <v>134</v>
      </c>
    </row>
    <row r="170" spans="2:12" x14ac:dyDescent="0.2">
      <c r="B170" s="30">
        <v>0.5</v>
      </c>
      <c r="C170" s="30">
        <v>2</v>
      </c>
      <c r="D170" s="30">
        <v>8</v>
      </c>
      <c r="E170" s="30">
        <v>0.1284399</v>
      </c>
      <c r="F170" s="30" t="s">
        <v>113</v>
      </c>
      <c r="G170" s="30">
        <v>0</v>
      </c>
      <c r="H170" s="30" t="s">
        <v>113</v>
      </c>
      <c r="I170" s="30">
        <v>2.5360859999999999E-2</v>
      </c>
      <c r="J170" s="31" t="s">
        <v>134</v>
      </c>
      <c r="K170" s="30">
        <v>0</v>
      </c>
      <c r="L170" s="31" t="s">
        <v>134</v>
      </c>
    </row>
    <row r="171" spans="2:12" x14ac:dyDescent="0.2">
      <c r="B171" s="30">
        <v>1</v>
      </c>
      <c r="C171" s="30">
        <v>2</v>
      </c>
      <c r="D171" s="30">
        <v>2</v>
      </c>
      <c r="E171" s="30">
        <v>0.12668070000000001</v>
      </c>
      <c r="F171" s="30" t="s">
        <v>113</v>
      </c>
      <c r="G171" s="30">
        <v>0</v>
      </c>
      <c r="H171" s="30" t="s">
        <v>113</v>
      </c>
      <c r="I171" s="30">
        <v>2.433513E-2</v>
      </c>
      <c r="J171" s="31" t="s">
        <v>134</v>
      </c>
      <c r="K171" s="30">
        <v>0</v>
      </c>
      <c r="L171" s="31" t="s">
        <v>134</v>
      </c>
    </row>
    <row r="172" spans="2:12" x14ac:dyDescent="0.2">
      <c r="B172" s="30">
        <v>1</v>
      </c>
      <c r="C172" s="30">
        <v>2</v>
      </c>
      <c r="D172" s="30">
        <v>4</v>
      </c>
      <c r="E172" s="30">
        <v>0.1269613</v>
      </c>
      <c r="F172" s="30" t="s">
        <v>113</v>
      </c>
      <c r="G172" s="30">
        <v>0</v>
      </c>
      <c r="H172" s="30" t="s">
        <v>113</v>
      </c>
      <c r="I172" s="30">
        <v>2.48151E-2</v>
      </c>
      <c r="J172" s="31" t="s">
        <v>134</v>
      </c>
      <c r="K172" s="30">
        <v>0</v>
      </c>
      <c r="L172" s="31" t="s">
        <v>134</v>
      </c>
    </row>
    <row r="173" spans="2:12" x14ac:dyDescent="0.2">
      <c r="B173" s="30">
        <v>1</v>
      </c>
      <c r="C173" s="30">
        <v>2</v>
      </c>
      <c r="D173" s="30">
        <v>8</v>
      </c>
      <c r="E173" s="30">
        <v>0.12604099999999999</v>
      </c>
      <c r="F173" s="30" t="s">
        <v>113</v>
      </c>
      <c r="G173" s="30">
        <v>0</v>
      </c>
      <c r="H173" s="30" t="s">
        <v>113</v>
      </c>
      <c r="I173" s="30">
        <v>2.3266579999999999E-2</v>
      </c>
      <c r="J173" s="31" t="s">
        <v>134</v>
      </c>
      <c r="K173" s="30">
        <v>0</v>
      </c>
      <c r="L173" s="31" t="s">
        <v>134</v>
      </c>
    </row>
    <row r="174" spans="2:12" x14ac:dyDescent="0.2">
      <c r="B174" s="30">
        <v>2</v>
      </c>
      <c r="C174" s="30">
        <v>2</v>
      </c>
      <c r="D174" s="30">
        <v>2</v>
      </c>
      <c r="E174" s="30">
        <v>0.12851199999999999</v>
      </c>
      <c r="F174" s="30" t="s">
        <v>113</v>
      </c>
      <c r="G174" s="30">
        <v>0</v>
      </c>
      <c r="H174" s="30" t="s">
        <v>113</v>
      </c>
      <c r="I174" s="30">
        <v>2.5344519999999999E-2</v>
      </c>
      <c r="J174" s="31" t="s">
        <v>134</v>
      </c>
      <c r="K174" s="30">
        <v>0</v>
      </c>
      <c r="L174" s="31" t="s">
        <v>134</v>
      </c>
    </row>
    <row r="175" spans="2:12" x14ac:dyDescent="0.2">
      <c r="B175" s="30">
        <v>2</v>
      </c>
      <c r="C175" s="30">
        <v>2</v>
      </c>
      <c r="D175" s="30">
        <v>4</v>
      </c>
      <c r="E175" s="30">
        <v>0.1266186</v>
      </c>
      <c r="F175" s="30" t="s">
        <v>113</v>
      </c>
      <c r="G175" s="30">
        <v>0</v>
      </c>
      <c r="H175" s="30" t="s">
        <v>113</v>
      </c>
      <c r="I175" s="30">
        <v>2.4460800000000001E-2</v>
      </c>
      <c r="J175" s="31" t="s">
        <v>134</v>
      </c>
      <c r="K175" s="30">
        <v>0</v>
      </c>
      <c r="L175" s="31" t="s">
        <v>134</v>
      </c>
    </row>
    <row r="176" spans="2:12" x14ac:dyDescent="0.2">
      <c r="B176" s="30">
        <v>2</v>
      </c>
      <c r="C176" s="30">
        <v>2</v>
      </c>
      <c r="D176" s="30">
        <v>8</v>
      </c>
      <c r="E176" s="30">
        <v>0.1279573</v>
      </c>
      <c r="F176" s="30" t="s">
        <v>113</v>
      </c>
      <c r="G176" s="30">
        <v>0</v>
      </c>
      <c r="H176" s="30" t="s">
        <v>113</v>
      </c>
      <c r="I176" s="30">
        <v>2.5785260000000001E-2</v>
      </c>
      <c r="J176" s="31" t="s">
        <v>134</v>
      </c>
      <c r="K176" s="30">
        <v>0</v>
      </c>
      <c r="L176" s="31" t="s">
        <v>134</v>
      </c>
    </row>
    <row r="177" spans="2:12" x14ac:dyDescent="0.2">
      <c r="B177" s="30">
        <v>3</v>
      </c>
      <c r="C177" s="30">
        <v>2</v>
      </c>
      <c r="D177" s="30">
        <v>2</v>
      </c>
      <c r="E177" s="30">
        <v>0.1252241</v>
      </c>
      <c r="F177" s="30" t="s">
        <v>113</v>
      </c>
      <c r="G177" s="30">
        <v>0</v>
      </c>
      <c r="H177" s="30" t="s">
        <v>113</v>
      </c>
      <c r="I177" s="30">
        <v>2.4241249999999999E-2</v>
      </c>
      <c r="J177" s="31" t="s">
        <v>134</v>
      </c>
      <c r="K177" s="30">
        <v>0</v>
      </c>
      <c r="L177" s="31" t="s">
        <v>134</v>
      </c>
    </row>
    <row r="178" spans="2:12" x14ac:dyDescent="0.2">
      <c r="B178" s="30">
        <v>3</v>
      </c>
      <c r="C178" s="30">
        <v>2</v>
      </c>
      <c r="D178" s="30">
        <v>4</v>
      </c>
      <c r="E178" s="30">
        <v>0.12568190000000001</v>
      </c>
      <c r="F178" s="30" t="s">
        <v>113</v>
      </c>
      <c r="G178" s="30">
        <v>0</v>
      </c>
      <c r="H178" s="30" t="s">
        <v>113</v>
      </c>
      <c r="I178" s="30">
        <v>2.3801180000000002E-2</v>
      </c>
      <c r="J178" s="31" t="s">
        <v>134</v>
      </c>
      <c r="K178" s="30">
        <v>0</v>
      </c>
      <c r="L178" s="31" t="s">
        <v>134</v>
      </c>
    </row>
    <row r="179" spans="2:12" x14ac:dyDescent="0.2">
      <c r="B179" s="30">
        <v>3</v>
      </c>
      <c r="C179" s="30">
        <v>2</v>
      </c>
      <c r="D179" s="30">
        <v>8</v>
      </c>
      <c r="E179" s="30">
        <v>0.1278871</v>
      </c>
      <c r="F179" s="30" t="s">
        <v>113</v>
      </c>
      <c r="G179" s="30">
        <v>0</v>
      </c>
      <c r="H179" s="30" t="s">
        <v>113</v>
      </c>
      <c r="I179" s="30">
        <v>2.4876369999999998E-2</v>
      </c>
      <c r="J179" s="31" t="s">
        <v>134</v>
      </c>
      <c r="K179" s="30">
        <v>0</v>
      </c>
      <c r="L179" s="31" t="s">
        <v>134</v>
      </c>
    </row>
    <row r="180" spans="2:12" x14ac:dyDescent="0.2">
      <c r="B180" s="30">
        <v>4</v>
      </c>
      <c r="C180" s="30">
        <v>2</v>
      </c>
      <c r="D180" s="30">
        <v>2</v>
      </c>
      <c r="E180" s="30">
        <v>0.1259768</v>
      </c>
      <c r="F180" s="30" t="s">
        <v>113</v>
      </c>
      <c r="G180" s="30">
        <v>0</v>
      </c>
      <c r="H180" s="30" t="s">
        <v>113</v>
      </c>
      <c r="I180" s="30">
        <v>2.3342160000000001E-2</v>
      </c>
      <c r="J180" s="31" t="s">
        <v>134</v>
      </c>
      <c r="K180" s="30">
        <v>0</v>
      </c>
      <c r="L180" s="31" t="s">
        <v>134</v>
      </c>
    </row>
    <row r="181" spans="2:12" x14ac:dyDescent="0.2">
      <c r="B181" s="30">
        <v>4</v>
      </c>
      <c r="C181" s="30">
        <v>2</v>
      </c>
      <c r="D181" s="30">
        <v>4</v>
      </c>
      <c r="E181" s="30">
        <v>0.12785189999999999</v>
      </c>
      <c r="F181" s="30" t="s">
        <v>113</v>
      </c>
      <c r="G181" s="30">
        <v>0</v>
      </c>
      <c r="H181" s="30" t="s">
        <v>113</v>
      </c>
      <c r="I181" s="30">
        <v>2.4710699999999999E-2</v>
      </c>
      <c r="J181" s="31" t="s">
        <v>134</v>
      </c>
      <c r="K181" s="30">
        <v>0</v>
      </c>
      <c r="L181" s="31" t="s">
        <v>134</v>
      </c>
    </row>
    <row r="182" spans="2:12" x14ac:dyDescent="0.2">
      <c r="B182" s="30">
        <v>4</v>
      </c>
      <c r="C182" s="30">
        <v>2</v>
      </c>
      <c r="D182" s="30">
        <v>8</v>
      </c>
      <c r="E182" s="30">
        <v>0.12886339999999999</v>
      </c>
      <c r="F182" s="30" t="s">
        <v>113</v>
      </c>
      <c r="G182" s="30">
        <v>0</v>
      </c>
      <c r="H182" s="30" t="s">
        <v>113</v>
      </c>
      <c r="I182" s="30">
        <v>2.5073160000000001E-2</v>
      </c>
      <c r="J182" s="31" t="s">
        <v>134</v>
      </c>
      <c r="K182" s="30">
        <v>0</v>
      </c>
      <c r="L182" s="31" t="s">
        <v>134</v>
      </c>
    </row>
    <row r="183" spans="2:12" x14ac:dyDescent="0.2">
      <c r="B183" s="30">
        <v>5</v>
      </c>
      <c r="C183" s="30">
        <v>2</v>
      </c>
      <c r="D183" s="30">
        <v>2</v>
      </c>
      <c r="E183" s="30">
        <v>0.12777060000000001</v>
      </c>
      <c r="F183" s="30" t="s">
        <v>113</v>
      </c>
      <c r="G183" s="30">
        <v>0</v>
      </c>
      <c r="H183" s="30" t="s">
        <v>113</v>
      </c>
      <c r="I183" s="30">
        <v>2.592999E-2</v>
      </c>
      <c r="J183" s="31" t="s">
        <v>134</v>
      </c>
      <c r="K183" s="30">
        <v>0</v>
      </c>
      <c r="L183" s="31" t="s">
        <v>134</v>
      </c>
    </row>
    <row r="184" spans="2:12" x14ac:dyDescent="0.2">
      <c r="B184" s="30">
        <v>5</v>
      </c>
      <c r="C184" s="30">
        <v>2</v>
      </c>
      <c r="D184" s="30">
        <v>4</v>
      </c>
      <c r="E184" s="30">
        <v>0.12507940000000001</v>
      </c>
      <c r="F184" s="30" t="s">
        <v>113</v>
      </c>
      <c r="G184" s="30">
        <v>0</v>
      </c>
      <c r="H184" s="30" t="s">
        <v>113</v>
      </c>
      <c r="I184" s="30">
        <v>2.3373930000000001E-2</v>
      </c>
      <c r="J184" s="31" t="s">
        <v>134</v>
      </c>
      <c r="K184" s="30">
        <v>0</v>
      </c>
      <c r="L184" s="31" t="s">
        <v>134</v>
      </c>
    </row>
    <row r="185" spans="2:12" x14ac:dyDescent="0.2">
      <c r="B185" s="30">
        <v>5</v>
      </c>
      <c r="C185" s="30">
        <v>2</v>
      </c>
      <c r="D185" s="30">
        <v>8</v>
      </c>
      <c r="E185" s="30">
        <v>0.12787879999999999</v>
      </c>
      <c r="F185" s="30" t="s">
        <v>113</v>
      </c>
      <c r="G185" s="30">
        <v>0</v>
      </c>
      <c r="H185" s="30" t="s">
        <v>113</v>
      </c>
      <c r="I185" s="30">
        <v>2.5767439999999999E-2</v>
      </c>
      <c r="J185" s="31" t="s">
        <v>134</v>
      </c>
      <c r="K185" s="30">
        <v>0</v>
      </c>
      <c r="L185" s="31" t="s">
        <v>134</v>
      </c>
    </row>
    <row r="186" spans="2:12" x14ac:dyDescent="0.2">
      <c r="B186" s="30">
        <v>6</v>
      </c>
      <c r="C186" s="30">
        <v>2</v>
      </c>
      <c r="D186" s="30">
        <v>2</v>
      </c>
      <c r="E186" s="30">
        <v>0.12883269999999999</v>
      </c>
      <c r="F186" s="30" t="s">
        <v>113</v>
      </c>
      <c r="G186" s="30">
        <v>0</v>
      </c>
      <c r="H186" s="30" t="s">
        <v>113</v>
      </c>
      <c r="I186" s="30">
        <v>2.5056539999999999E-2</v>
      </c>
      <c r="J186" s="31" t="s">
        <v>134</v>
      </c>
      <c r="K186" s="30">
        <v>0</v>
      </c>
      <c r="L186" s="31" t="s">
        <v>134</v>
      </c>
    </row>
    <row r="187" spans="2:12" x14ac:dyDescent="0.2">
      <c r="B187" s="30">
        <v>6</v>
      </c>
      <c r="C187" s="30">
        <v>2</v>
      </c>
      <c r="D187" s="30">
        <v>4</v>
      </c>
      <c r="E187" s="30">
        <v>0.1272741</v>
      </c>
      <c r="F187" s="30" t="s">
        <v>113</v>
      </c>
      <c r="G187" s="30">
        <v>0</v>
      </c>
      <c r="H187" s="30" t="s">
        <v>113</v>
      </c>
      <c r="I187" s="30">
        <v>2.4652420000000001E-2</v>
      </c>
      <c r="J187" s="31" t="s">
        <v>134</v>
      </c>
      <c r="K187" s="30">
        <v>0</v>
      </c>
      <c r="L187" s="31" t="s">
        <v>134</v>
      </c>
    </row>
    <row r="188" spans="2:12" x14ac:dyDescent="0.2">
      <c r="B188" s="30">
        <v>6</v>
      </c>
      <c r="C188" s="30">
        <v>2</v>
      </c>
      <c r="D188" s="30">
        <v>8</v>
      </c>
      <c r="E188" s="30">
        <v>0.12683990000000001</v>
      </c>
      <c r="F188" s="30" t="s">
        <v>113</v>
      </c>
      <c r="G188" s="30">
        <v>0</v>
      </c>
      <c r="H188" s="30" t="s">
        <v>113</v>
      </c>
      <c r="I188" s="30">
        <v>2.4914840000000001E-2</v>
      </c>
      <c r="J188" s="31" t="s">
        <v>134</v>
      </c>
      <c r="K188" s="30">
        <v>0</v>
      </c>
      <c r="L188" s="31" t="s">
        <v>134</v>
      </c>
    </row>
    <row r="189" spans="2:12" x14ac:dyDescent="0.2">
      <c r="B189" s="30">
        <v>7</v>
      </c>
      <c r="C189" s="30">
        <v>2</v>
      </c>
      <c r="D189" s="30">
        <v>2</v>
      </c>
      <c r="E189" s="30">
        <v>0.1267857</v>
      </c>
      <c r="F189" s="30" t="s">
        <v>113</v>
      </c>
      <c r="G189" s="30">
        <v>0</v>
      </c>
      <c r="H189" s="30" t="s">
        <v>113</v>
      </c>
      <c r="I189" s="30">
        <v>2.5013509999999999E-2</v>
      </c>
      <c r="J189" s="31" t="s">
        <v>134</v>
      </c>
      <c r="K189" s="30">
        <v>0</v>
      </c>
      <c r="L189" s="31" t="s">
        <v>134</v>
      </c>
    </row>
    <row r="190" spans="2:12" x14ac:dyDescent="0.2">
      <c r="B190" s="30">
        <v>7</v>
      </c>
      <c r="C190" s="30">
        <v>2</v>
      </c>
      <c r="D190" s="30">
        <v>4</v>
      </c>
      <c r="E190" s="30">
        <v>0.1283743</v>
      </c>
      <c r="F190" s="30" t="s">
        <v>113</v>
      </c>
      <c r="G190" s="30">
        <v>0</v>
      </c>
      <c r="H190" s="30" t="s">
        <v>113</v>
      </c>
      <c r="I190" s="30">
        <v>2.5386809999999999E-2</v>
      </c>
      <c r="J190" s="31" t="s">
        <v>134</v>
      </c>
      <c r="K190" s="30">
        <v>0</v>
      </c>
      <c r="L190" s="31" t="s">
        <v>134</v>
      </c>
    </row>
    <row r="191" spans="2:12" x14ac:dyDescent="0.2">
      <c r="B191" s="30">
        <v>7</v>
      </c>
      <c r="C191" s="30">
        <v>2</v>
      </c>
      <c r="D191" s="30">
        <v>8</v>
      </c>
      <c r="E191" s="30">
        <v>0.12735450000000001</v>
      </c>
      <c r="F191" s="30" t="s">
        <v>113</v>
      </c>
      <c r="G191" s="30">
        <v>0</v>
      </c>
      <c r="H191" s="30" t="s">
        <v>113</v>
      </c>
      <c r="I191" s="30">
        <v>2.423169E-2</v>
      </c>
      <c r="J191" s="31" t="s">
        <v>134</v>
      </c>
      <c r="K191" s="30">
        <v>0</v>
      </c>
      <c r="L191" s="31" t="s">
        <v>134</v>
      </c>
    </row>
    <row r="192" spans="2:12" x14ac:dyDescent="0.2">
      <c r="B192" s="30">
        <v>8</v>
      </c>
      <c r="C192" s="30">
        <v>2</v>
      </c>
      <c r="D192" s="30">
        <v>2</v>
      </c>
      <c r="E192" s="30">
        <v>0.1262221</v>
      </c>
      <c r="F192" s="30" t="s">
        <v>113</v>
      </c>
      <c r="G192" s="30">
        <v>0</v>
      </c>
      <c r="H192" s="30" t="s">
        <v>113</v>
      </c>
      <c r="I192" s="30">
        <v>2.367209E-2</v>
      </c>
      <c r="J192" s="31" t="s">
        <v>134</v>
      </c>
      <c r="K192" s="30">
        <v>0</v>
      </c>
      <c r="L192" s="31" t="s">
        <v>134</v>
      </c>
    </row>
    <row r="193" spans="2:12" x14ac:dyDescent="0.2">
      <c r="B193" s="30">
        <v>8</v>
      </c>
      <c r="C193" s="30">
        <v>2</v>
      </c>
      <c r="D193" s="30">
        <v>4</v>
      </c>
      <c r="E193" s="30">
        <v>0.1279284</v>
      </c>
      <c r="F193" s="30" t="s">
        <v>113</v>
      </c>
      <c r="G193" s="30">
        <v>0</v>
      </c>
      <c r="H193" s="30" t="s">
        <v>113</v>
      </c>
      <c r="I193" s="30">
        <v>2.5642689999999999E-2</v>
      </c>
      <c r="J193" s="31" t="s">
        <v>134</v>
      </c>
      <c r="K193" s="30">
        <v>0</v>
      </c>
      <c r="L193" s="31" t="s">
        <v>134</v>
      </c>
    </row>
    <row r="194" spans="2:12" x14ac:dyDescent="0.2">
      <c r="B194" s="30">
        <v>8</v>
      </c>
      <c r="C194" s="30">
        <v>2</v>
      </c>
      <c r="D194" s="30">
        <v>8</v>
      </c>
      <c r="E194" s="30">
        <v>0.12915650000000001</v>
      </c>
      <c r="F194" s="30" t="s">
        <v>113</v>
      </c>
      <c r="G194" s="30">
        <v>0</v>
      </c>
      <c r="H194" s="30" t="s">
        <v>113</v>
      </c>
      <c r="I194" s="30">
        <v>2.5374830000000001E-2</v>
      </c>
      <c r="J194" s="31" t="s">
        <v>134</v>
      </c>
      <c r="K194" s="30">
        <v>0</v>
      </c>
      <c r="L194" s="31" t="s">
        <v>134</v>
      </c>
    </row>
    <row r="195" spans="2:12" x14ac:dyDescent="0.2">
      <c r="B195" s="30">
        <v>9</v>
      </c>
      <c r="C195" s="30">
        <v>2</v>
      </c>
      <c r="D195" s="30">
        <v>2</v>
      </c>
      <c r="E195" s="30">
        <v>0.12779260000000001</v>
      </c>
      <c r="F195" s="30" t="s">
        <v>113</v>
      </c>
      <c r="G195" s="30">
        <v>0</v>
      </c>
      <c r="H195" s="30" t="s">
        <v>113</v>
      </c>
      <c r="I195" s="30">
        <v>2.4577709999999999E-2</v>
      </c>
      <c r="J195" s="31" t="s">
        <v>134</v>
      </c>
      <c r="K195" s="30">
        <v>0</v>
      </c>
      <c r="L195" s="31" t="s">
        <v>134</v>
      </c>
    </row>
    <row r="196" spans="2:12" x14ac:dyDescent="0.2">
      <c r="B196" s="30">
        <v>9</v>
      </c>
      <c r="C196" s="30">
        <v>2</v>
      </c>
      <c r="D196" s="30">
        <v>4</v>
      </c>
      <c r="E196" s="30">
        <v>0.12761649999999999</v>
      </c>
      <c r="F196" s="30" t="s">
        <v>113</v>
      </c>
      <c r="G196" s="30">
        <v>0</v>
      </c>
      <c r="H196" s="30" t="s">
        <v>113</v>
      </c>
      <c r="I196" s="30">
        <v>2.4563049999999999E-2</v>
      </c>
      <c r="J196" s="31" t="s">
        <v>134</v>
      </c>
      <c r="K196" s="30">
        <v>0</v>
      </c>
      <c r="L196" s="31" t="s">
        <v>134</v>
      </c>
    </row>
    <row r="197" spans="2:12" x14ac:dyDescent="0.2">
      <c r="B197" s="30">
        <v>9</v>
      </c>
      <c r="C197" s="30">
        <v>2</v>
      </c>
      <c r="D197" s="30">
        <v>8</v>
      </c>
      <c r="E197" s="30">
        <v>0.12731909999999999</v>
      </c>
      <c r="F197" s="30" t="s">
        <v>113</v>
      </c>
      <c r="G197" s="30">
        <v>0</v>
      </c>
      <c r="H197" s="30" t="s">
        <v>113</v>
      </c>
      <c r="I197" s="30">
        <v>2.418824E-2</v>
      </c>
      <c r="J197" s="31" t="s">
        <v>134</v>
      </c>
      <c r="K197" s="30">
        <v>0</v>
      </c>
      <c r="L197" s="31" t="s">
        <v>134</v>
      </c>
    </row>
    <row r="198" spans="2:12" x14ac:dyDescent="0.2">
      <c r="B198" s="30">
        <v>10</v>
      </c>
      <c r="C198" s="30">
        <v>2</v>
      </c>
      <c r="D198" s="30">
        <v>2</v>
      </c>
      <c r="E198" s="30">
        <v>0.12801560000000001</v>
      </c>
      <c r="F198" s="30" t="s">
        <v>113</v>
      </c>
      <c r="G198" s="30">
        <v>0</v>
      </c>
      <c r="H198" s="30" t="s">
        <v>113</v>
      </c>
      <c r="I198" s="30">
        <v>2.432351E-2</v>
      </c>
      <c r="J198" s="31" t="s">
        <v>134</v>
      </c>
      <c r="K198" s="30">
        <v>0</v>
      </c>
      <c r="L198" s="31" t="s">
        <v>134</v>
      </c>
    </row>
    <row r="199" spans="2:12" x14ac:dyDescent="0.2">
      <c r="B199" s="30">
        <v>10</v>
      </c>
      <c r="C199" s="30">
        <v>2</v>
      </c>
      <c r="D199" s="30">
        <v>4</v>
      </c>
      <c r="E199" s="30">
        <v>0.1265172</v>
      </c>
      <c r="F199" s="30" t="s">
        <v>113</v>
      </c>
      <c r="G199" s="30">
        <v>0</v>
      </c>
      <c r="H199" s="30" t="s">
        <v>113</v>
      </c>
      <c r="I199" s="30">
        <v>2.363465E-2</v>
      </c>
      <c r="J199" s="31" t="s">
        <v>134</v>
      </c>
      <c r="K199" s="30">
        <v>0</v>
      </c>
      <c r="L199" s="31" t="s">
        <v>134</v>
      </c>
    </row>
    <row r="200" spans="2:12" x14ac:dyDescent="0.2">
      <c r="B200" s="30">
        <v>10</v>
      </c>
      <c r="C200" s="30">
        <v>2</v>
      </c>
      <c r="D200" s="30">
        <v>8</v>
      </c>
      <c r="E200" s="30">
        <v>0.127694</v>
      </c>
      <c r="F200" s="30" t="s">
        <v>113</v>
      </c>
      <c r="G200" s="30">
        <v>0</v>
      </c>
      <c r="H200" s="30" t="s">
        <v>113</v>
      </c>
      <c r="I200" s="30">
        <v>2.3860159999999998E-2</v>
      </c>
      <c r="J200" s="31" t="s">
        <v>134</v>
      </c>
      <c r="K200" s="30">
        <v>0</v>
      </c>
      <c r="L200" s="31" t="s">
        <v>134</v>
      </c>
    </row>
  </sheetData>
  <mergeCells count="10">
    <mergeCell ref="B2:V2"/>
    <mergeCell ref="N4:P4"/>
    <mergeCell ref="T4:U4"/>
    <mergeCell ref="N9:O9"/>
    <mergeCell ref="N19:P19"/>
    <mergeCell ref="V48:V49"/>
    <mergeCell ref="N24:O24"/>
    <mergeCell ref="N47:R47"/>
    <mergeCell ref="N34:O34"/>
    <mergeCell ref="B4:L4"/>
  </mergeCells>
  <phoneticPr fontId="1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529B-0C88-49EA-B4EC-C2C6D8706AF3}">
  <dimension ref="B1:G67"/>
  <sheetViews>
    <sheetView topLeftCell="A38" zoomScale="67" workbookViewId="0">
      <selection activeCell="E41" sqref="D41:E41"/>
    </sheetView>
  </sheetViews>
  <sheetFormatPr baseColWidth="10" defaultColWidth="11" defaultRowHeight="16" x14ac:dyDescent="0.2"/>
  <cols>
    <col min="1" max="1" width="1.6640625" customWidth="1"/>
    <col min="2" max="2" width="27.33203125" bestFit="1" customWidth="1"/>
    <col min="3" max="3" width="27.33203125" customWidth="1"/>
    <col min="4" max="4" width="27.33203125" bestFit="1" customWidth="1"/>
    <col min="5" max="5" width="24.5" customWidth="1"/>
    <col min="6" max="6" width="1.6640625" customWidth="1"/>
  </cols>
  <sheetData>
    <row r="1" spans="2:7" x14ac:dyDescent="0.2">
      <c r="B1" s="5"/>
      <c r="C1" s="5"/>
      <c r="D1" s="5"/>
      <c r="E1" s="5"/>
      <c r="F1" s="5"/>
    </row>
    <row r="2" spans="2:7" x14ac:dyDescent="0.2">
      <c r="B2" s="53" t="s">
        <v>187</v>
      </c>
      <c r="C2" s="53"/>
      <c r="D2" s="53"/>
      <c r="E2" s="53"/>
    </row>
    <row r="3" spans="2:7" x14ac:dyDescent="0.2">
      <c r="B3" s="6"/>
      <c r="C3" s="6"/>
      <c r="D3" s="6"/>
      <c r="E3" s="6"/>
      <c r="F3" s="6"/>
    </row>
    <row r="4" spans="2:7" x14ac:dyDescent="0.2">
      <c r="B4" s="47" t="s">
        <v>178</v>
      </c>
      <c r="C4" s="47" t="s">
        <v>110</v>
      </c>
      <c r="D4" s="5" t="s">
        <v>182</v>
      </c>
      <c r="E4" s="5">
        <f>IF('SVM Linear'!M25="","",'SVM Linear'!M25)</f>
        <v>0.22222</v>
      </c>
      <c r="G4" s="5"/>
    </row>
    <row r="5" spans="2:7" x14ac:dyDescent="0.2">
      <c r="B5" s="5"/>
      <c r="D5" s="5" t="s">
        <v>183</v>
      </c>
      <c r="E5" s="5">
        <f>IF('SVM Linear'!M26="","",'SVM Linear'!M26)</f>
        <v>1</v>
      </c>
      <c r="G5" s="5"/>
    </row>
    <row r="6" spans="2:7" x14ac:dyDescent="0.2">
      <c r="B6" s="5"/>
      <c r="D6" s="5" t="s">
        <v>180</v>
      </c>
      <c r="E6" s="5">
        <f>IF('SVM Linear'!M27="","",'SVM Linear'!M27)</f>
        <v>1</v>
      </c>
      <c r="G6" s="5"/>
    </row>
    <row r="7" spans="2:7" x14ac:dyDescent="0.2">
      <c r="B7" s="5"/>
      <c r="D7" s="5" t="s">
        <v>181</v>
      </c>
      <c r="E7" s="5">
        <f>IF('SVM Linear'!M28="","",'SVM Linear'!M28)</f>
        <v>0.84091000000000005</v>
      </c>
      <c r="G7" s="5"/>
    </row>
    <row r="8" spans="2:7" x14ac:dyDescent="0.2">
      <c r="B8" s="5"/>
      <c r="D8" s="5" t="s">
        <v>184</v>
      </c>
      <c r="E8" s="5">
        <f>IF('SVM Linear'!M29="","",'SVM Linear'!M29)</f>
        <v>0.8478</v>
      </c>
      <c r="G8" s="5"/>
    </row>
    <row r="9" spans="2:7" x14ac:dyDescent="0.2">
      <c r="B9" s="5"/>
      <c r="D9" s="5" t="s">
        <v>185</v>
      </c>
      <c r="E9" s="5">
        <f>IF('SVM Linear'!M30="","",'SVM Linear'!M30)</f>
        <v>0.36359999999999998</v>
      </c>
      <c r="G9" s="5"/>
    </row>
    <row r="10" spans="2:7" x14ac:dyDescent="0.2">
      <c r="B10" s="5"/>
      <c r="D10" s="5" t="s">
        <v>28</v>
      </c>
      <c r="E10" s="5">
        <f>IF('SVM Linear'!M31="","",'SVM Linear'!M31)</f>
        <v>0.43230000000000002</v>
      </c>
      <c r="G10" s="5"/>
    </row>
    <row r="11" spans="2:7" x14ac:dyDescent="0.2">
      <c r="B11" s="5"/>
      <c r="D11" s="5" t="s">
        <v>186</v>
      </c>
      <c r="E11" s="5">
        <f>IF('SVM Linear'!M32="","",'SVM Linear'!M32)</f>
        <v>0.61111000000000004</v>
      </c>
      <c r="G11" s="5"/>
    </row>
    <row r="12" spans="2:7" x14ac:dyDescent="0.2">
      <c r="B12" s="5"/>
      <c r="C12" s="47" t="s">
        <v>109</v>
      </c>
      <c r="D12" s="5" t="s">
        <v>182</v>
      </c>
      <c r="E12" s="5">
        <f>IF('SVM Polynomial'!O25="","",'SVM Polynomial'!O25)</f>
        <v>0.1111</v>
      </c>
    </row>
    <row r="13" spans="2:7" x14ac:dyDescent="0.2">
      <c r="B13" s="5"/>
      <c r="D13" s="5" t="s">
        <v>183</v>
      </c>
      <c r="E13" s="5">
        <f>IF('SVM Polynomial'!O26="","",'SVM Polynomial'!O26)</f>
        <v>1</v>
      </c>
    </row>
    <row r="14" spans="2:7" x14ac:dyDescent="0.2">
      <c r="B14" s="5"/>
      <c r="D14" s="5" t="s">
        <v>180</v>
      </c>
      <c r="E14" s="5">
        <f>IF('SVM Polynomial'!O27="","",'SVM Polynomial'!O27)</f>
        <v>1</v>
      </c>
    </row>
    <row r="15" spans="2:7" x14ac:dyDescent="0.2">
      <c r="B15" s="5"/>
      <c r="D15" s="5" t="s">
        <v>181</v>
      </c>
      <c r="E15" s="5">
        <f>IF('SVM Polynomial'!O28="","",'SVM Polynomial'!O28)</f>
        <v>0.82220000000000004</v>
      </c>
    </row>
    <row r="16" spans="2:7" x14ac:dyDescent="0.2">
      <c r="B16" s="5"/>
      <c r="D16" s="5" t="s">
        <v>184</v>
      </c>
      <c r="E16" s="5">
        <f>IF('SVM Polynomial'!O29="","",'SVM Polynomial'!O29)</f>
        <v>0.82609999999999995</v>
      </c>
    </row>
    <row r="17" spans="2:5" x14ac:dyDescent="0.2">
      <c r="B17" s="5"/>
      <c r="D17" s="5" t="s">
        <v>185</v>
      </c>
      <c r="E17" s="5">
        <f>IF('SVM Polynomial'!O30="","",'SVM Polynomial'!O30)</f>
        <v>0.2</v>
      </c>
    </row>
    <row r="18" spans="2:5" x14ac:dyDescent="0.2">
      <c r="B18" s="5"/>
      <c r="D18" s="5" t="s">
        <v>28</v>
      </c>
      <c r="E18" s="5">
        <f>IF('SVM Polynomial'!O31="","",'SVM Polynomial'!O31)</f>
        <v>0.30225000000000002</v>
      </c>
    </row>
    <row r="19" spans="2:5" x14ac:dyDescent="0.2">
      <c r="B19" s="5"/>
      <c r="D19" s="5" t="s">
        <v>186</v>
      </c>
      <c r="E19" s="5">
        <f>IF('SVM Polynomial'!O32="","",'SVM Polynomial'!O32)</f>
        <v>0.55559999999999998</v>
      </c>
    </row>
    <row r="20" spans="2:5" x14ac:dyDescent="0.2">
      <c r="B20" s="5"/>
      <c r="C20" t="s">
        <v>137</v>
      </c>
      <c r="D20" s="5" t="s">
        <v>182</v>
      </c>
      <c r="E20" s="5">
        <f>IF('SVM Radial'!N25="","",'SVM Radial'!N25)</f>
        <v>0.1111</v>
      </c>
    </row>
    <row r="21" spans="2:5" x14ac:dyDescent="0.2">
      <c r="B21" s="5"/>
      <c r="D21" s="5" t="s">
        <v>183</v>
      </c>
      <c r="E21" s="5">
        <f>IF('SVM Radial'!N26="","",'SVM Radial'!N26)</f>
        <v>1</v>
      </c>
    </row>
    <row r="22" spans="2:5" x14ac:dyDescent="0.2">
      <c r="B22" s="5"/>
      <c r="D22" s="5" t="s">
        <v>180</v>
      </c>
      <c r="E22" s="5">
        <f>IF('SVM Radial'!N27="","",'SVM Radial'!N27)</f>
        <v>1</v>
      </c>
    </row>
    <row r="23" spans="2:5" x14ac:dyDescent="0.2">
      <c r="B23" s="5"/>
      <c r="D23" s="5" t="s">
        <v>181</v>
      </c>
      <c r="E23" s="5">
        <f>IF('SVM Radial'!N28="","",'SVM Radial'!N28)</f>
        <v>0.82220000000000004</v>
      </c>
    </row>
    <row r="24" spans="2:5" x14ac:dyDescent="0.2">
      <c r="B24" s="5"/>
      <c r="D24" s="5" t="s">
        <v>184</v>
      </c>
      <c r="E24" s="5">
        <f>IF('SVM Radial'!N29="","",'SVM Radial'!N29)</f>
        <v>0.82609999999999995</v>
      </c>
    </row>
    <row r="25" spans="2:5" x14ac:dyDescent="0.2">
      <c r="B25" s="5"/>
      <c r="D25" s="5" t="s">
        <v>185</v>
      </c>
      <c r="E25" s="5">
        <f>IF('SVM Radial'!N30="","",'SVM Radial'!N30)</f>
        <v>0.2</v>
      </c>
    </row>
    <row r="26" spans="2:5" x14ac:dyDescent="0.2">
      <c r="B26" s="5"/>
      <c r="D26" s="5" t="s">
        <v>28</v>
      </c>
      <c r="E26" s="5">
        <f>IF('SVM Radial'!N31="","",'SVM Radial'!N31)</f>
        <v>0.30225000000000002</v>
      </c>
    </row>
    <row r="27" spans="2:5" x14ac:dyDescent="0.2">
      <c r="B27" s="5"/>
      <c r="D27" s="5" t="s">
        <v>186</v>
      </c>
      <c r="E27" s="5">
        <f>IF('SVM Radial'!N32="","",'SVM Radial'!N32)</f>
        <v>0.55559999999999998</v>
      </c>
    </row>
    <row r="28" spans="2:5" x14ac:dyDescent="0.2">
      <c r="C28" s="48" t="s">
        <v>192</v>
      </c>
      <c r="D28" s="5" t="s">
        <v>182</v>
      </c>
      <c r="E28" s="5">
        <f>IF('SVM Weighted Radial'!O25="","",'SVM Weighted Radial'!O25)</f>
        <v>0.33333000000000002</v>
      </c>
    </row>
    <row r="29" spans="2:5" x14ac:dyDescent="0.2">
      <c r="C29" s="5"/>
      <c r="D29" s="5" t="s">
        <v>183</v>
      </c>
      <c r="E29" s="5">
        <f>IF('SVM Weighted Radial'!O26="","",'SVM Weighted Radial'!O26)</f>
        <v>0.81081000000000003</v>
      </c>
    </row>
    <row r="30" spans="2:5" x14ac:dyDescent="0.2">
      <c r="C30" s="5"/>
      <c r="D30" s="5" t="s">
        <v>180</v>
      </c>
      <c r="E30" s="5">
        <f>IF('SVM Weighted Radial'!O27="","",'SVM Weighted Radial'!O27)</f>
        <v>0.3</v>
      </c>
    </row>
    <row r="31" spans="2:5" x14ac:dyDescent="0.2">
      <c r="C31" s="5"/>
      <c r="D31" s="5" t="s">
        <v>181</v>
      </c>
      <c r="E31" s="5">
        <f>IF('SVM Weighted Radial'!O28="","",'SVM Weighted Radial'!O28)</f>
        <v>0.83333000000000002</v>
      </c>
    </row>
    <row r="32" spans="2:5" x14ac:dyDescent="0.2">
      <c r="C32" s="5"/>
      <c r="D32" s="5" t="s">
        <v>184</v>
      </c>
      <c r="E32" s="5">
        <f>IF('SVM Weighted Radial'!O29="","",'SVM Weighted Radial'!O29)</f>
        <v>0.71740000000000004</v>
      </c>
    </row>
    <row r="33" spans="2:5" x14ac:dyDescent="0.2">
      <c r="C33" s="5"/>
      <c r="D33" s="5" t="s">
        <v>185</v>
      </c>
      <c r="E33" s="5">
        <f>IF('SVM Weighted Radial'!O30="","",'SVM Weighted Radial'!O30)</f>
        <v>0.31580000000000003</v>
      </c>
    </row>
    <row r="34" spans="2:5" x14ac:dyDescent="0.2">
      <c r="C34" s="5"/>
      <c r="D34" s="5" t="s">
        <v>28</v>
      </c>
      <c r="E34" s="5">
        <f>IF('SVM Weighted Radial'!O31="","",'SVM Weighted Radial'!O31)</f>
        <v>0.1386</v>
      </c>
    </row>
    <row r="35" spans="2:5" x14ac:dyDescent="0.2">
      <c r="C35" s="5"/>
      <c r="D35" s="5" t="s">
        <v>186</v>
      </c>
      <c r="E35" s="5">
        <f>IF('SVM Weighted Radial'!O32="","",'SVM Weighted Radial'!O32)</f>
        <v>0.57206999999999997</v>
      </c>
    </row>
    <row r="36" spans="2:5" x14ac:dyDescent="0.2">
      <c r="B36" t="s">
        <v>177</v>
      </c>
      <c r="C36" s="47" t="s">
        <v>110</v>
      </c>
      <c r="D36" s="5" t="s">
        <v>182</v>
      </c>
      <c r="E36" s="5">
        <f>IF('SVM Linear'!M10="","",'SVM Linear'!M10)</f>
        <v>0.41666999999999998</v>
      </c>
    </row>
    <row r="37" spans="2:5" x14ac:dyDescent="0.2">
      <c r="D37" s="5" t="s">
        <v>183</v>
      </c>
      <c r="E37" s="5">
        <f>IF('SVM Linear'!M11="","",'SVM Linear'!M11)</f>
        <v>0.97987000000000002</v>
      </c>
    </row>
    <row r="38" spans="2:5" x14ac:dyDescent="0.2">
      <c r="D38" s="5" t="s">
        <v>180</v>
      </c>
      <c r="E38" s="5">
        <f>IF('SVM Linear'!M12="","",'SVM Linear'!M12)</f>
        <v>0.83333000000000002</v>
      </c>
    </row>
    <row r="39" spans="2:5" x14ac:dyDescent="0.2">
      <c r="D39" s="5" t="s">
        <v>181</v>
      </c>
      <c r="E39" s="5">
        <f>IF('SVM Linear'!M13="","",'SVM Linear'!M13)</f>
        <v>0.87424999999999997</v>
      </c>
    </row>
    <row r="40" spans="2:5" x14ac:dyDescent="0.2">
      <c r="B40" s="6"/>
      <c r="D40" s="5" t="s">
        <v>184</v>
      </c>
      <c r="E40" s="5">
        <f>IF('SVM Linear'!M14="","",'SVM Linear'!M14)</f>
        <v>0.87029999999999996</v>
      </c>
    </row>
    <row r="41" spans="2:5" x14ac:dyDescent="0.2">
      <c r="D41" s="5" t="s">
        <v>185</v>
      </c>
      <c r="E41" s="5">
        <f>IF('SVM Linear'!M15="","",'SVM Linear'!M15)</f>
        <v>0.55559999999999998</v>
      </c>
    </row>
    <row r="42" spans="2:5" x14ac:dyDescent="0.2">
      <c r="D42" s="5" t="s">
        <v>28</v>
      </c>
      <c r="E42" s="5">
        <f>IF('SVM Linear'!M16="","",'SVM Linear'!M16)</f>
        <v>0.52969999999999995</v>
      </c>
    </row>
    <row r="43" spans="2:5" x14ac:dyDescent="0.2">
      <c r="D43" s="5" t="s">
        <v>186</v>
      </c>
      <c r="E43" s="5">
        <f>IF('SVM Linear'!M17="","",'SVM Linear'!M17)</f>
        <v>0.69826999999999995</v>
      </c>
    </row>
    <row r="44" spans="2:5" x14ac:dyDescent="0.2">
      <c r="C44" s="48" t="s">
        <v>109</v>
      </c>
      <c r="D44" s="5" t="s">
        <v>182</v>
      </c>
      <c r="E44" s="5">
        <f>IF('SVM Polynomial'!O10="","",'SVM Polynomial'!O10)</f>
        <v>0.5</v>
      </c>
    </row>
    <row r="45" spans="2:5" x14ac:dyDescent="0.2">
      <c r="D45" s="5" t="s">
        <v>183</v>
      </c>
      <c r="E45" s="5">
        <f>IF('SVM Polynomial'!O11="","",'SVM Polynomial'!O11)</f>
        <v>0.98660000000000003</v>
      </c>
    </row>
    <row r="46" spans="2:5" x14ac:dyDescent="0.2">
      <c r="D46" s="5" t="s">
        <v>180</v>
      </c>
      <c r="E46" s="5">
        <f>IF('SVM Polynomial'!O12="","",'SVM Polynomial'!O12)</f>
        <v>0.9</v>
      </c>
    </row>
    <row r="47" spans="2:5" x14ac:dyDescent="0.2">
      <c r="D47" s="5" t="s">
        <v>181</v>
      </c>
      <c r="E47" s="5">
        <f>IF('SVM Polynomial'!O13="","",'SVM Polynomial'!O13)</f>
        <v>0.89090000000000003</v>
      </c>
    </row>
    <row r="48" spans="2:5" x14ac:dyDescent="0.2">
      <c r="D48" s="5" t="s">
        <v>184</v>
      </c>
      <c r="E48" s="5">
        <f>IF('SVM Polynomial'!O14="","",'SVM Polynomial'!O14)</f>
        <v>0.89190000000000003</v>
      </c>
    </row>
    <row r="49" spans="3:5" x14ac:dyDescent="0.2">
      <c r="D49" s="5" t="s">
        <v>185</v>
      </c>
      <c r="E49" s="5">
        <f>IF('SVM Polynomial'!O15="","",'SVM Polynomial'!O15)</f>
        <v>0.64290000000000003</v>
      </c>
    </row>
    <row r="50" spans="3:5" x14ac:dyDescent="0.2">
      <c r="D50" s="5" t="s">
        <v>28</v>
      </c>
      <c r="E50" s="5">
        <f>IF('SVM Polynomial'!O16="","",'SVM Polynomial'!O16)</f>
        <v>0.62039999999999995</v>
      </c>
    </row>
    <row r="51" spans="3:5" x14ac:dyDescent="0.2">
      <c r="D51" s="5" t="s">
        <v>186</v>
      </c>
      <c r="E51" s="5">
        <f>IF('SVM Polynomial'!O17="","",'SVM Polynomial'!O17)</f>
        <v>0.74329999999999996</v>
      </c>
    </row>
    <row r="52" spans="3:5" x14ac:dyDescent="0.2">
      <c r="C52" s="48" t="s">
        <v>137</v>
      </c>
      <c r="D52" s="5" t="s">
        <v>182</v>
      </c>
      <c r="E52" s="5">
        <f>IF('SVM Radial'!N10="","",'SVM Radial'!N10)</f>
        <v>0.41666999999999998</v>
      </c>
    </row>
    <row r="53" spans="3:5" x14ac:dyDescent="0.2">
      <c r="D53" s="5" t="s">
        <v>183</v>
      </c>
      <c r="E53" s="5">
        <f>IF('SVM Radial'!N11="","",'SVM Radial'!N11)</f>
        <v>0.99329000000000001</v>
      </c>
    </row>
    <row r="54" spans="3:5" x14ac:dyDescent="0.2">
      <c r="D54" s="5" t="s">
        <v>180</v>
      </c>
      <c r="E54" s="5">
        <f>IF('SVM Radial'!N12="","",'SVM Radial'!N12)</f>
        <v>0.9375</v>
      </c>
    </row>
    <row r="55" spans="3:5" x14ac:dyDescent="0.2">
      <c r="D55" s="5" t="s">
        <v>181</v>
      </c>
      <c r="E55" s="5">
        <f>IF('SVM Radial'!N13="","",'SVM Radial'!N13)</f>
        <v>0.87573999999999996</v>
      </c>
    </row>
    <row r="56" spans="3:5" x14ac:dyDescent="0.2">
      <c r="D56" s="5" t="s">
        <v>184</v>
      </c>
      <c r="E56" s="5">
        <f>IF('SVM Radial'!N14="","",'SVM Radial'!N14)</f>
        <v>0.88109999999999999</v>
      </c>
    </row>
    <row r="57" spans="3:5" x14ac:dyDescent="0.2">
      <c r="D57" s="5" t="s">
        <v>185</v>
      </c>
      <c r="E57" s="5">
        <f>IF('SVM Radial'!N15="","",'SVM Radial'!N15)</f>
        <v>0.57689999999999997</v>
      </c>
    </row>
    <row r="58" spans="3:5" x14ac:dyDescent="0.2">
      <c r="D58" s="5" t="s">
        <v>28</v>
      </c>
      <c r="E58" s="5">
        <f>IF('SVM Radial'!N16="","",'SVM Radial'!N16)</f>
        <v>0.57740000000000002</v>
      </c>
    </row>
    <row r="59" spans="3:5" x14ac:dyDescent="0.2">
      <c r="D59" s="5" t="s">
        <v>186</v>
      </c>
      <c r="E59" s="5">
        <f>IF('SVM Radial'!N17="","",'SVM Radial'!N17)</f>
        <v>0.70498000000000005</v>
      </c>
    </row>
    <row r="60" spans="3:5" x14ac:dyDescent="0.2">
      <c r="C60" s="48" t="s">
        <v>192</v>
      </c>
      <c r="D60" s="5" t="s">
        <v>182</v>
      </c>
      <c r="E60" s="5">
        <f>IF('SVM Weighted Radial'!O10="","",'SVM Weighted Radial'!O10)</f>
        <v>0.80559999999999998</v>
      </c>
    </row>
    <row r="61" spans="3:5" x14ac:dyDescent="0.2">
      <c r="C61" s="5"/>
      <c r="D61" s="5" t="s">
        <v>183</v>
      </c>
      <c r="E61" s="5">
        <f>IF('SVM Weighted Radial'!O11="","",'SVM Weighted Radial'!O11)</f>
        <v>0.83220000000000005</v>
      </c>
    </row>
    <row r="62" spans="3:5" x14ac:dyDescent="0.2">
      <c r="C62" s="5"/>
      <c r="D62" s="5" t="s">
        <v>180</v>
      </c>
      <c r="E62" s="5">
        <f>IF('SVM Weighted Radial'!O12="","",'SVM Weighted Radial'!O12)</f>
        <v>0.53700000000000003</v>
      </c>
    </row>
    <row r="63" spans="3:5" x14ac:dyDescent="0.2">
      <c r="C63" s="5"/>
      <c r="D63" s="5" t="s">
        <v>181</v>
      </c>
      <c r="E63" s="5">
        <f>IF('SVM Weighted Radial'!O13="","",'SVM Weighted Radial'!O13)</f>
        <v>0.9466</v>
      </c>
    </row>
    <row r="64" spans="3:5" x14ac:dyDescent="0.2">
      <c r="C64" s="5"/>
      <c r="D64" s="5" t="s">
        <v>184</v>
      </c>
      <c r="E64" s="5">
        <f>IF('SVM Weighted Radial'!O14="","",'SVM Weighted Radial'!O14)</f>
        <v>0.82699999999999996</v>
      </c>
    </row>
    <row r="65" spans="3:5" x14ac:dyDescent="0.2">
      <c r="C65" s="5"/>
      <c r="D65" s="5" t="s">
        <v>185</v>
      </c>
      <c r="E65" s="5">
        <f>IF('SVM Weighted Radial'!O15="","",'SVM Weighted Radial'!O15)</f>
        <v>0.64439999999999997</v>
      </c>
    </row>
    <row r="66" spans="3:5" x14ac:dyDescent="0.2">
      <c r="C66" s="5"/>
      <c r="D66" s="5" t="s">
        <v>28</v>
      </c>
      <c r="E66" s="5">
        <f>IF('SVM Weighted Radial'!O16="","",'SVM Weighted Radial'!O16)</f>
        <v>0.5554</v>
      </c>
    </row>
    <row r="67" spans="3:5" x14ac:dyDescent="0.2">
      <c r="C67" s="5"/>
      <c r="D67" s="5" t="s">
        <v>186</v>
      </c>
      <c r="E67" s="5">
        <f>IF('SVM Weighted Radial'!O17="","",'SVM Weighted Radial'!O17)</f>
        <v>0.81889999999999996</v>
      </c>
    </row>
  </sheetData>
  <mergeCells count="1"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99C4-ACF0-4D57-8A72-CD03890205D8}">
  <sheetPr>
    <tabColor theme="4" tint="0.79998168889431442"/>
  </sheetPr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0EFF-10A1-AA42-B48F-A2BD3B4074C9}">
  <dimension ref="B1:AQ104"/>
  <sheetViews>
    <sheetView topLeftCell="Q2" zoomScale="125" zoomScaleNormal="100" workbookViewId="0">
      <selection activeCell="U7" sqref="U7:U21"/>
    </sheetView>
  </sheetViews>
  <sheetFormatPr baseColWidth="10" defaultColWidth="11" defaultRowHeight="16" x14ac:dyDescent="0.2"/>
  <cols>
    <col min="1" max="1" width="4.5" customWidth="1"/>
    <col min="2" max="2" width="13.83203125" customWidth="1"/>
    <col min="3" max="4" width="12.5" customWidth="1"/>
    <col min="5" max="5" width="13" customWidth="1"/>
    <col min="6" max="6" width="14.33203125" bestFit="1" customWidth="1"/>
    <col min="7" max="7" width="7.1640625" bestFit="1" customWidth="1"/>
    <col min="8" max="8" width="15.83203125" bestFit="1" customWidth="1"/>
    <col min="9" max="9" width="18" bestFit="1" customWidth="1"/>
    <col min="10" max="10" width="18.33203125" bestFit="1" customWidth="1"/>
    <col min="11" max="11" width="27.1640625" bestFit="1" customWidth="1"/>
    <col min="12" max="12" width="3.6640625" customWidth="1"/>
    <col min="13" max="13" width="28" bestFit="1" customWidth="1"/>
    <col min="14" max="14" width="16.83203125" bestFit="1" customWidth="1"/>
    <col min="15" max="15" width="25.5" customWidth="1"/>
    <col min="16" max="16" width="3.1640625" customWidth="1"/>
    <col min="17" max="17" width="21.6640625" bestFit="1" customWidth="1"/>
    <col min="18" max="18" width="12.83203125" bestFit="1" customWidth="1"/>
    <col min="19" max="19" width="19.6640625" customWidth="1"/>
    <col min="20" max="20" width="10.1640625" bestFit="1" customWidth="1"/>
    <col min="21" max="21" width="28.33203125" bestFit="1" customWidth="1"/>
    <col min="22" max="22" width="15" bestFit="1" customWidth="1"/>
    <col min="24" max="24" width="22.5" customWidth="1"/>
  </cols>
  <sheetData>
    <row r="1" spans="2:26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6" x14ac:dyDescent="0.2">
      <c r="B2" s="55" t="s">
        <v>151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6"/>
    </row>
    <row r="3" spans="2:26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5"/>
      <c r="M3" s="6"/>
      <c r="N3" s="6"/>
      <c r="O3" s="6"/>
      <c r="P3" s="6"/>
      <c r="Q3" s="5"/>
      <c r="R3" s="5"/>
      <c r="S3" s="5"/>
      <c r="T3" s="5"/>
      <c r="U3" s="5"/>
    </row>
    <row r="4" spans="2:26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5"/>
      <c r="M4" s="49" t="s">
        <v>36</v>
      </c>
      <c r="N4" s="49"/>
      <c r="O4" s="49"/>
      <c r="P4" s="6"/>
      <c r="Q4" s="23" t="s">
        <v>30</v>
      </c>
      <c r="R4" s="23" t="s">
        <v>34</v>
      </c>
      <c r="S4" s="51" t="s">
        <v>173</v>
      </c>
      <c r="T4" s="51"/>
      <c r="U4" s="13" t="s">
        <v>174</v>
      </c>
      <c r="Y4" s="2"/>
    </row>
    <row r="5" spans="2:26" x14ac:dyDescent="0.2">
      <c r="B5" s="9" t="s">
        <v>142</v>
      </c>
      <c r="C5" s="9" t="s">
        <v>141</v>
      </c>
      <c r="D5" s="9" t="s">
        <v>140</v>
      </c>
      <c r="E5" s="9" t="s">
        <v>5</v>
      </c>
      <c r="F5" s="9" t="s">
        <v>6</v>
      </c>
      <c r="G5" s="9" t="s">
        <v>7</v>
      </c>
      <c r="H5" s="9" t="s">
        <v>131</v>
      </c>
      <c r="I5" s="9" t="s">
        <v>66</v>
      </c>
      <c r="J5" s="9" t="s">
        <v>67</v>
      </c>
      <c r="K5" s="9" t="s">
        <v>68</v>
      </c>
      <c r="L5" s="5"/>
      <c r="M5" s="9" t="s">
        <v>143</v>
      </c>
      <c r="N5" s="9" t="s">
        <v>10</v>
      </c>
      <c r="O5" s="9" t="s">
        <v>11</v>
      </c>
      <c r="P5" s="5"/>
      <c r="Q5" s="5"/>
      <c r="R5" s="5"/>
      <c r="S5" s="17" t="s">
        <v>31</v>
      </c>
      <c r="T5" s="17" t="s">
        <v>32</v>
      </c>
      <c r="U5" s="17"/>
      <c r="W5" s="18" t="s">
        <v>194</v>
      </c>
      <c r="X5" s="8"/>
      <c r="Y5" s="2"/>
    </row>
    <row r="6" spans="2:26" x14ac:dyDescent="0.2">
      <c r="B6" s="8">
        <v>2</v>
      </c>
      <c r="C6" s="8">
        <v>100</v>
      </c>
      <c r="D6" s="8">
        <v>0.4802748</v>
      </c>
      <c r="E6" s="8">
        <v>0.86212120000000003</v>
      </c>
      <c r="F6" s="8">
        <v>0.2228571</v>
      </c>
      <c r="G6" s="8">
        <v>0.37789260000000002</v>
      </c>
      <c r="H6" s="8">
        <v>0.10596027</v>
      </c>
      <c r="I6" s="8">
        <v>0.19714780000000001</v>
      </c>
      <c r="J6" s="8">
        <v>0.13639787</v>
      </c>
      <c r="K6" s="8">
        <v>0.13400113999999999</v>
      </c>
      <c r="L6" s="5"/>
      <c r="M6" s="9" t="s">
        <v>8</v>
      </c>
      <c r="N6" s="10">
        <v>36</v>
      </c>
      <c r="O6" s="10">
        <v>0</v>
      </c>
      <c r="P6" s="5"/>
      <c r="Q6" s="27" t="s">
        <v>29</v>
      </c>
      <c r="R6" s="5"/>
      <c r="S6" s="28">
        <v>83.853211000000002</v>
      </c>
      <c r="T6" s="28">
        <v>83.853211000000002</v>
      </c>
      <c r="U6" s="29">
        <v>7.6108260000000004E-4</v>
      </c>
      <c r="V6" s="8"/>
      <c r="W6" s="2"/>
      <c r="X6" s="8"/>
      <c r="Y6" s="2"/>
      <c r="Z6" s="2"/>
    </row>
    <row r="7" spans="2:26" x14ac:dyDescent="0.2">
      <c r="B7" s="8">
        <v>2</v>
      </c>
      <c r="C7" s="8">
        <v>300</v>
      </c>
      <c r="D7" s="8">
        <v>0.49175089999999999</v>
      </c>
      <c r="E7" s="8">
        <v>0.92063490000000003</v>
      </c>
      <c r="F7" s="8">
        <v>0.20142860000000001</v>
      </c>
      <c r="G7" s="8">
        <v>0.3714286</v>
      </c>
      <c r="H7" s="8">
        <v>9.8453009999999994E-2</v>
      </c>
      <c r="I7" s="8">
        <v>0.17174790000000001</v>
      </c>
      <c r="J7" s="8">
        <v>0.12355887</v>
      </c>
      <c r="K7" s="8">
        <v>0.12105868</v>
      </c>
      <c r="L7" s="5"/>
      <c r="M7" s="9" t="s">
        <v>9</v>
      </c>
      <c r="N7" s="10">
        <v>0</v>
      </c>
      <c r="O7" s="10">
        <v>149</v>
      </c>
      <c r="P7" s="6"/>
      <c r="Q7" s="27" t="s">
        <v>78</v>
      </c>
      <c r="R7" s="5"/>
      <c r="S7" s="28">
        <v>42.614678900000001</v>
      </c>
      <c r="T7" s="28">
        <v>42.614678900000001</v>
      </c>
      <c r="U7" s="59">
        <v>0</v>
      </c>
      <c r="V7" s="8"/>
      <c r="W7" s="2"/>
      <c r="X7" s="8"/>
      <c r="Y7" s="3"/>
      <c r="Z7" s="3"/>
    </row>
    <row r="8" spans="2:26" x14ac:dyDescent="0.2">
      <c r="B8" s="8">
        <v>2</v>
      </c>
      <c r="C8" s="8">
        <v>500</v>
      </c>
      <c r="D8" s="8">
        <v>0.50852850000000005</v>
      </c>
      <c r="E8" s="8">
        <v>0.87916669999999997</v>
      </c>
      <c r="F8" s="8">
        <v>0.1907143</v>
      </c>
      <c r="G8" s="8">
        <v>0.36699490000000001</v>
      </c>
      <c r="H8" s="8">
        <v>9.7987630000000006E-2</v>
      </c>
      <c r="I8" s="8">
        <v>0.19771169999999999</v>
      </c>
      <c r="J8" s="8">
        <v>0.12141106</v>
      </c>
      <c r="K8" s="8">
        <v>0.10490410999999999</v>
      </c>
      <c r="L8" s="5"/>
      <c r="M8" s="5"/>
      <c r="N8" s="5"/>
      <c r="O8" s="5"/>
      <c r="P8" s="5"/>
      <c r="Q8" s="27" t="s">
        <v>79</v>
      </c>
      <c r="R8" s="5"/>
      <c r="S8" s="28">
        <v>51.605504600000003</v>
      </c>
      <c r="T8" s="28">
        <v>51.605504600000003</v>
      </c>
      <c r="U8" s="60">
        <v>1.52811536E-2</v>
      </c>
      <c r="V8" s="8"/>
      <c r="W8" s="2"/>
      <c r="X8" s="8"/>
      <c r="Y8" s="3"/>
    </row>
    <row r="9" spans="2:26" x14ac:dyDescent="0.2">
      <c r="B9" s="8">
        <v>2</v>
      </c>
      <c r="C9" s="8">
        <v>700</v>
      </c>
      <c r="D9" s="8">
        <v>0.4951082</v>
      </c>
      <c r="E9" s="8">
        <v>0.9484127</v>
      </c>
      <c r="F9" s="8">
        <v>0.19571430000000001</v>
      </c>
      <c r="G9" s="8">
        <v>0.36486289999999999</v>
      </c>
      <c r="H9" s="8">
        <v>9.6472479999999999E-2</v>
      </c>
      <c r="I9" s="8">
        <v>0.13559589999999999</v>
      </c>
      <c r="J9" s="8">
        <v>0.1156678</v>
      </c>
      <c r="K9" s="8">
        <v>0.10495778</v>
      </c>
      <c r="L9" s="5"/>
      <c r="M9" s="51" t="s">
        <v>70</v>
      </c>
      <c r="N9" s="51"/>
      <c r="O9" s="5" t="s">
        <v>37</v>
      </c>
      <c r="P9" s="5"/>
      <c r="Q9" s="27" t="s">
        <v>80</v>
      </c>
      <c r="R9" s="5"/>
      <c r="S9" s="28">
        <v>50.366972500000003</v>
      </c>
      <c r="T9" s="28">
        <v>50.366972500000003</v>
      </c>
      <c r="U9" s="59">
        <v>0</v>
      </c>
      <c r="V9" s="8"/>
      <c r="W9" s="2"/>
      <c r="X9" s="2"/>
      <c r="Y9" s="8"/>
      <c r="Z9" s="8"/>
    </row>
    <row r="10" spans="2:26" x14ac:dyDescent="0.2">
      <c r="B10" s="8">
        <v>2</v>
      </c>
      <c r="C10" s="8">
        <v>900</v>
      </c>
      <c r="D10" s="8">
        <v>0.49647180000000002</v>
      </c>
      <c r="E10" s="8">
        <v>0.92424240000000002</v>
      </c>
      <c r="F10" s="8">
        <v>0.19</v>
      </c>
      <c r="G10" s="8">
        <v>0.34292929999999999</v>
      </c>
      <c r="H10" s="8">
        <v>9.1736470000000001E-2</v>
      </c>
      <c r="I10" s="8">
        <v>0.16846079999999999</v>
      </c>
      <c r="J10" s="8">
        <v>9.8603129999999997E-2</v>
      </c>
      <c r="K10" s="8">
        <v>9.893884E-2</v>
      </c>
      <c r="L10" s="5"/>
      <c r="M10" s="5" t="s">
        <v>22</v>
      </c>
      <c r="N10" s="5">
        <v>1</v>
      </c>
      <c r="O10" s="5"/>
      <c r="P10" s="5"/>
      <c r="Q10" s="27" t="s">
        <v>81</v>
      </c>
      <c r="R10" s="5"/>
      <c r="S10" s="28">
        <v>47.155963300000003</v>
      </c>
      <c r="T10" s="28">
        <v>47.155963300000003</v>
      </c>
      <c r="U10" s="59">
        <v>0</v>
      </c>
      <c r="V10" s="8"/>
      <c r="W10" s="2"/>
      <c r="X10" s="2"/>
      <c r="Y10" s="8"/>
      <c r="Z10" s="8"/>
    </row>
    <row r="11" spans="2:26" x14ac:dyDescent="0.2">
      <c r="B11" s="8">
        <v>2</v>
      </c>
      <c r="C11" s="8">
        <v>1100</v>
      </c>
      <c r="D11" s="8">
        <v>0.49513119999999999</v>
      </c>
      <c r="E11" s="8">
        <v>0.93650789999999995</v>
      </c>
      <c r="F11" s="8">
        <v>0.17857139999999999</v>
      </c>
      <c r="G11" s="8">
        <v>0.3402116</v>
      </c>
      <c r="H11" s="8">
        <v>9.2329099999999997E-2</v>
      </c>
      <c r="I11" s="8">
        <v>0.1622429</v>
      </c>
      <c r="J11" s="8">
        <v>0.10348416000000001</v>
      </c>
      <c r="K11" s="8">
        <v>0.10053721</v>
      </c>
      <c r="L11" s="5"/>
      <c r="M11" s="5" t="s">
        <v>21</v>
      </c>
      <c r="N11" s="5">
        <v>1</v>
      </c>
      <c r="O11" s="5"/>
      <c r="P11" s="5"/>
      <c r="Q11" s="27" t="s">
        <v>82</v>
      </c>
      <c r="R11" s="5"/>
      <c r="S11" s="28">
        <v>19.541284399999999</v>
      </c>
      <c r="T11" s="28">
        <v>19.541284399999999</v>
      </c>
      <c r="U11" s="59">
        <v>0</v>
      </c>
      <c r="V11" s="8"/>
      <c r="W11" s="2"/>
      <c r="X11" s="2"/>
      <c r="Y11" s="8"/>
      <c r="Z11" s="8"/>
    </row>
    <row r="12" spans="2:26" x14ac:dyDescent="0.2">
      <c r="B12" s="8">
        <v>2</v>
      </c>
      <c r="C12" s="8">
        <v>1300</v>
      </c>
      <c r="D12" s="8">
        <v>0.49587759999999997</v>
      </c>
      <c r="E12" s="8">
        <v>0.92460319999999996</v>
      </c>
      <c r="F12" s="8">
        <v>0.19571430000000001</v>
      </c>
      <c r="G12" s="8">
        <v>0.36354019999999998</v>
      </c>
      <c r="H12" s="8">
        <v>9.8234130000000003E-2</v>
      </c>
      <c r="I12" s="8">
        <v>0.16646810000000001</v>
      </c>
      <c r="J12" s="8">
        <v>0.1156678</v>
      </c>
      <c r="K12" s="8">
        <v>0.10663931</v>
      </c>
      <c r="L12" s="5"/>
      <c r="M12" s="5" t="s">
        <v>20</v>
      </c>
      <c r="N12" s="5">
        <v>1</v>
      </c>
      <c r="O12" s="5"/>
      <c r="P12" s="5"/>
      <c r="Q12" s="27" t="s">
        <v>83</v>
      </c>
      <c r="R12" s="5"/>
      <c r="S12" s="28">
        <v>31.330275199999999</v>
      </c>
      <c r="T12" s="28">
        <v>31.330275199999999</v>
      </c>
      <c r="U12" s="59">
        <v>0</v>
      </c>
      <c r="V12" s="8"/>
      <c r="W12" s="2"/>
      <c r="X12" s="2"/>
      <c r="Y12" s="8"/>
      <c r="Z12" s="8"/>
    </row>
    <row r="13" spans="2:26" x14ac:dyDescent="0.2">
      <c r="B13" s="8">
        <v>3</v>
      </c>
      <c r="C13" s="8">
        <v>100</v>
      </c>
      <c r="D13" s="8">
        <v>0.45910570000000001</v>
      </c>
      <c r="E13" s="8">
        <v>0.76875000000000004</v>
      </c>
      <c r="F13" s="8">
        <v>0.2471429</v>
      </c>
      <c r="G13" s="8">
        <v>0.38552920000000002</v>
      </c>
      <c r="H13" s="8">
        <v>0.10757308</v>
      </c>
      <c r="I13" s="8">
        <v>0.27045819999999998</v>
      </c>
      <c r="J13" s="8">
        <v>0.12655074999999999</v>
      </c>
      <c r="K13" s="8">
        <v>0.12232621</v>
      </c>
      <c r="L13" s="5"/>
      <c r="M13" s="5" t="s">
        <v>19</v>
      </c>
      <c r="N13" s="5">
        <v>1</v>
      </c>
      <c r="O13" s="5"/>
      <c r="P13" s="5"/>
      <c r="Q13" s="27" t="s">
        <v>84</v>
      </c>
      <c r="R13" s="5"/>
      <c r="S13" s="28">
        <v>32.889908300000002</v>
      </c>
      <c r="T13" s="28">
        <v>32.889908300000002</v>
      </c>
      <c r="U13" s="60">
        <v>6.3156947E-3</v>
      </c>
      <c r="V13" s="8"/>
      <c r="W13" s="2"/>
      <c r="X13" s="2"/>
      <c r="Y13" s="8"/>
      <c r="Z13" s="8"/>
    </row>
    <row r="14" spans="2:26" x14ac:dyDescent="0.2">
      <c r="B14" s="8">
        <v>3</v>
      </c>
      <c r="C14" s="8">
        <v>300</v>
      </c>
      <c r="D14" s="8">
        <v>0.4748039</v>
      </c>
      <c r="E14" s="8">
        <v>0.79710139999999996</v>
      </c>
      <c r="F14" s="8">
        <v>0.2228571</v>
      </c>
      <c r="G14" s="8">
        <v>0.37635449999999998</v>
      </c>
      <c r="H14" s="8">
        <v>8.9714219999999997E-2</v>
      </c>
      <c r="I14" s="8">
        <v>0.27041179999999998</v>
      </c>
      <c r="J14" s="8">
        <v>0.10863544</v>
      </c>
      <c r="K14" s="8">
        <v>9.2930550000000001E-2</v>
      </c>
      <c r="L14" s="5"/>
      <c r="M14" s="5" t="s">
        <v>18</v>
      </c>
      <c r="N14" s="5">
        <v>1</v>
      </c>
      <c r="O14" s="5"/>
      <c r="P14" s="5"/>
      <c r="Q14" s="27" t="s">
        <v>85</v>
      </c>
      <c r="R14" s="5"/>
      <c r="S14" s="28">
        <v>28.669724800000001</v>
      </c>
      <c r="T14" s="28">
        <v>28.669724800000001</v>
      </c>
      <c r="U14" s="59">
        <v>0</v>
      </c>
      <c r="V14" s="8"/>
      <c r="W14" s="2"/>
      <c r="X14" s="2"/>
      <c r="Y14" s="8"/>
      <c r="Z14" s="8"/>
    </row>
    <row r="15" spans="2:26" x14ac:dyDescent="0.2">
      <c r="B15" s="8">
        <v>3</v>
      </c>
      <c r="C15" s="8">
        <v>500</v>
      </c>
      <c r="D15" s="8">
        <v>0.49152679999999999</v>
      </c>
      <c r="E15" s="8">
        <v>0.86449279999999995</v>
      </c>
      <c r="F15" s="8">
        <v>0.2514286</v>
      </c>
      <c r="G15" s="8">
        <v>0.4179522</v>
      </c>
      <c r="H15" s="8">
        <v>0.10184706</v>
      </c>
      <c r="I15" s="8">
        <v>0.25247779999999997</v>
      </c>
      <c r="J15" s="8">
        <v>0.15506951999999999</v>
      </c>
      <c r="K15" s="8">
        <v>0.14728608000000001</v>
      </c>
      <c r="L15" s="5"/>
      <c r="M15" s="5" t="s">
        <v>17</v>
      </c>
      <c r="N15" s="5">
        <v>1</v>
      </c>
      <c r="O15" s="5"/>
      <c r="P15" s="5"/>
      <c r="Q15" s="27" t="s">
        <v>86</v>
      </c>
      <c r="R15" s="5"/>
      <c r="S15" s="28">
        <v>27.935779799999999</v>
      </c>
      <c r="T15" s="28">
        <v>27.935779799999999</v>
      </c>
      <c r="U15" s="59">
        <v>7.6108260000000004E-4</v>
      </c>
      <c r="V15" s="8"/>
      <c r="W15" s="2"/>
      <c r="X15" s="2"/>
      <c r="Y15" s="8"/>
      <c r="Z15" s="8"/>
    </row>
    <row r="16" spans="2:26" x14ac:dyDescent="0.2">
      <c r="B16" s="8">
        <v>3</v>
      </c>
      <c r="C16" s="8">
        <v>700</v>
      </c>
      <c r="D16" s="8">
        <v>0.4860469</v>
      </c>
      <c r="E16" s="8">
        <v>0.84782610000000003</v>
      </c>
      <c r="F16" s="8">
        <v>0.24071429999999999</v>
      </c>
      <c r="G16" s="8">
        <v>0.38154290000000002</v>
      </c>
      <c r="H16" s="8">
        <v>9.912762E-2</v>
      </c>
      <c r="I16" s="8">
        <v>0.20513020000000001</v>
      </c>
      <c r="J16" s="8">
        <v>0.13502723999999999</v>
      </c>
      <c r="K16" s="8">
        <v>0.12932748999999999</v>
      </c>
      <c r="L16" s="5"/>
      <c r="M16" s="5" t="s">
        <v>28</v>
      </c>
      <c r="N16" s="5">
        <v>1</v>
      </c>
      <c r="O16" s="5"/>
      <c r="P16" s="5"/>
      <c r="Q16" s="27" t="s">
        <v>87</v>
      </c>
      <c r="R16" s="5"/>
      <c r="S16" s="28">
        <v>18.669724800000001</v>
      </c>
      <c r="T16" s="28">
        <v>18.669724800000001</v>
      </c>
      <c r="U16" s="61">
        <v>1.417647E-2</v>
      </c>
      <c r="V16" s="8"/>
      <c r="W16" s="2"/>
      <c r="X16" s="2"/>
      <c r="Y16" s="8"/>
      <c r="Z16" s="8"/>
    </row>
    <row r="17" spans="2:26" x14ac:dyDescent="0.2">
      <c r="B17" s="8">
        <v>3</v>
      </c>
      <c r="C17" s="8">
        <v>900</v>
      </c>
      <c r="D17" s="8">
        <v>0.47964659999999998</v>
      </c>
      <c r="E17" s="8">
        <v>0.88257580000000002</v>
      </c>
      <c r="F17" s="8">
        <v>0.23</v>
      </c>
      <c r="G17" s="8">
        <v>0.39120749999999999</v>
      </c>
      <c r="H17" s="8">
        <v>0.10131368</v>
      </c>
      <c r="I17" s="8">
        <v>0.190132</v>
      </c>
      <c r="J17" s="8">
        <v>0.12321429</v>
      </c>
      <c r="K17" s="8">
        <v>0.11588540999999999</v>
      </c>
      <c r="L17" s="5"/>
      <c r="M17" s="5" t="s">
        <v>33</v>
      </c>
      <c r="N17" s="5">
        <v>1</v>
      </c>
      <c r="O17" s="5"/>
      <c r="P17" s="5"/>
      <c r="Q17" s="27" t="s">
        <v>88</v>
      </c>
      <c r="R17" s="5"/>
      <c r="S17" s="28">
        <v>19.770642200000001</v>
      </c>
      <c r="T17" s="28">
        <v>19.770642200000001</v>
      </c>
      <c r="U17" s="59">
        <v>0</v>
      </c>
      <c r="V17" s="8"/>
      <c r="W17" s="2"/>
      <c r="X17" s="2"/>
      <c r="Y17" s="8"/>
      <c r="Z17" s="8"/>
    </row>
    <row r="18" spans="2:26" x14ac:dyDescent="0.2">
      <c r="B18" s="8">
        <v>3</v>
      </c>
      <c r="C18" s="8">
        <v>1100</v>
      </c>
      <c r="D18" s="8">
        <v>0.48689729999999998</v>
      </c>
      <c r="E18" s="8">
        <v>0.875</v>
      </c>
      <c r="F18" s="8">
        <v>0.23499999999999999</v>
      </c>
      <c r="G18" s="8">
        <v>0.39215939999999999</v>
      </c>
      <c r="H18" s="8">
        <v>9.4374739999999999E-2</v>
      </c>
      <c r="I18" s="8">
        <v>0.20208899999999999</v>
      </c>
      <c r="J18" s="8">
        <v>0.14076594000000001</v>
      </c>
      <c r="K18" s="8">
        <v>0.12896687000000001</v>
      </c>
      <c r="L18" s="5"/>
      <c r="M18" s="5"/>
      <c r="N18" s="5"/>
      <c r="O18" s="5"/>
      <c r="P18" s="5"/>
      <c r="Q18" s="27" t="s">
        <v>122</v>
      </c>
      <c r="R18" s="5"/>
      <c r="S18" s="28">
        <v>34.541284400000002</v>
      </c>
      <c r="T18" s="28">
        <v>34.541284400000002</v>
      </c>
      <c r="U18" s="59">
        <v>0</v>
      </c>
      <c r="V18" s="8"/>
      <c r="W18" s="2"/>
      <c r="X18" s="2"/>
      <c r="Y18" s="8"/>
      <c r="Z18" s="8"/>
    </row>
    <row r="19" spans="2:26" x14ac:dyDescent="0.2">
      <c r="B19" s="8">
        <v>3</v>
      </c>
      <c r="C19" s="8">
        <v>1300</v>
      </c>
      <c r="D19" s="8">
        <v>0.48841560000000001</v>
      </c>
      <c r="E19" s="8">
        <v>0.89057969999999997</v>
      </c>
      <c r="F19" s="8">
        <v>0.24</v>
      </c>
      <c r="G19" s="8">
        <v>0.38724199999999998</v>
      </c>
      <c r="H19" s="8">
        <v>9.5054970000000003E-2</v>
      </c>
      <c r="I19" s="8">
        <v>0.17956359999999999</v>
      </c>
      <c r="J19" s="8">
        <v>0.12763798000000001</v>
      </c>
      <c r="K19" s="8">
        <v>0.11836898</v>
      </c>
      <c r="L19" s="5"/>
      <c r="M19" s="49" t="s">
        <v>35</v>
      </c>
      <c r="N19" s="49"/>
      <c r="O19" s="49"/>
      <c r="P19" s="5"/>
      <c r="Q19" s="27" t="s">
        <v>123</v>
      </c>
      <c r="R19" s="5"/>
      <c r="S19" s="28">
        <v>100</v>
      </c>
      <c r="T19" s="28">
        <v>100</v>
      </c>
      <c r="U19" s="60">
        <v>3.4919090100000001E-2</v>
      </c>
      <c r="V19" s="8"/>
      <c r="W19" s="2"/>
      <c r="X19" s="2"/>
      <c r="Y19" s="8"/>
      <c r="Z19" s="8"/>
    </row>
    <row r="20" spans="2:26" x14ac:dyDescent="0.2">
      <c r="B20" s="8">
        <v>4</v>
      </c>
      <c r="C20" s="8">
        <v>100</v>
      </c>
      <c r="D20" s="8">
        <v>0.46188309999999999</v>
      </c>
      <c r="E20" s="8">
        <v>0.69199999999999995</v>
      </c>
      <c r="F20" s="8">
        <v>0.30142859999999999</v>
      </c>
      <c r="G20" s="8">
        <v>0.43603429999999999</v>
      </c>
      <c r="H20" s="8">
        <v>9.3001979999999998E-2</v>
      </c>
      <c r="I20" s="8">
        <v>0.2922264</v>
      </c>
      <c r="J20" s="8">
        <v>0.15849325</v>
      </c>
      <c r="K20" s="8">
        <v>0.13499321</v>
      </c>
      <c r="L20" s="5"/>
      <c r="M20" s="9" t="s">
        <v>143</v>
      </c>
      <c r="N20" s="9" t="s">
        <v>10</v>
      </c>
      <c r="O20" s="9" t="s">
        <v>11</v>
      </c>
      <c r="P20" s="5"/>
      <c r="Q20" s="27" t="s">
        <v>124</v>
      </c>
      <c r="R20" s="5"/>
      <c r="S20" s="28">
        <v>0</v>
      </c>
      <c r="T20" s="28">
        <v>0</v>
      </c>
      <c r="U20" s="59">
        <v>0</v>
      </c>
      <c r="V20" s="8"/>
      <c r="W20" s="2"/>
      <c r="X20" s="2"/>
      <c r="Y20" s="8"/>
      <c r="Z20" s="8"/>
    </row>
    <row r="21" spans="2:26" x14ac:dyDescent="0.2">
      <c r="B21" s="8">
        <v>4</v>
      </c>
      <c r="C21" s="8">
        <v>300</v>
      </c>
      <c r="D21" s="8">
        <v>0.47374040000000001</v>
      </c>
      <c r="E21" s="8">
        <v>0.77986109999999997</v>
      </c>
      <c r="F21" s="8">
        <v>0.26428570000000001</v>
      </c>
      <c r="G21" s="8">
        <v>0.38381409999999999</v>
      </c>
      <c r="H21" s="8">
        <v>9.1530760000000003E-2</v>
      </c>
      <c r="I21" s="8">
        <v>0.20506740000000001</v>
      </c>
      <c r="J21" s="8">
        <v>0.14154907</v>
      </c>
      <c r="K21" s="8">
        <v>0.14377134999999999</v>
      </c>
      <c r="L21" s="5"/>
      <c r="M21" s="9" t="s">
        <v>8</v>
      </c>
      <c r="N21" s="10">
        <v>2</v>
      </c>
      <c r="O21" s="10">
        <v>1</v>
      </c>
      <c r="P21" s="5"/>
      <c r="Q21" s="27" t="s">
        <v>129</v>
      </c>
      <c r="R21" s="5"/>
      <c r="S21" s="28">
        <v>40.1376147</v>
      </c>
      <c r="T21" s="28">
        <v>40.1376147</v>
      </c>
      <c r="U21" s="59">
        <v>0</v>
      </c>
      <c r="V21" s="8"/>
      <c r="W21" s="2"/>
      <c r="X21" s="2"/>
      <c r="Y21" s="8"/>
      <c r="Z21" s="8"/>
    </row>
    <row r="22" spans="2:26" x14ac:dyDescent="0.2">
      <c r="B22" s="8">
        <v>4</v>
      </c>
      <c r="C22" s="8">
        <v>500</v>
      </c>
      <c r="D22" s="8">
        <v>0.48329899999999998</v>
      </c>
      <c r="E22" s="8">
        <v>0.77049690000000004</v>
      </c>
      <c r="F22" s="8">
        <v>0.26428570000000001</v>
      </c>
      <c r="G22" s="8">
        <v>0.39862599999999998</v>
      </c>
      <c r="H22" s="8">
        <v>9.8156869999999993E-2</v>
      </c>
      <c r="I22" s="8">
        <v>0.22391739999999999</v>
      </c>
      <c r="J22" s="8">
        <v>0.14013402</v>
      </c>
      <c r="K22" s="8">
        <v>0.12891949999999999</v>
      </c>
      <c r="L22" s="5"/>
      <c r="M22" s="9" t="s">
        <v>9</v>
      </c>
      <c r="N22" s="10">
        <v>7</v>
      </c>
      <c r="O22" s="10">
        <v>36</v>
      </c>
      <c r="P22" s="5"/>
      <c r="Q22" s="27" t="s">
        <v>128</v>
      </c>
      <c r="R22" s="5"/>
      <c r="S22" s="28">
        <v>34.266055000000001</v>
      </c>
      <c r="T22" s="28">
        <v>34.266055000000001</v>
      </c>
      <c r="U22" s="29">
        <v>0</v>
      </c>
      <c r="V22" s="8"/>
      <c r="W22" s="2"/>
      <c r="X22" s="2"/>
      <c r="Y22" s="8"/>
      <c r="Z22" s="8"/>
    </row>
    <row r="23" spans="2:26" x14ac:dyDescent="0.2">
      <c r="B23" s="8">
        <v>4</v>
      </c>
      <c r="C23" s="8">
        <v>700</v>
      </c>
      <c r="D23" s="8">
        <v>0.48053889999999999</v>
      </c>
      <c r="E23" s="8">
        <v>0.82380949999999997</v>
      </c>
      <c r="F23" s="8">
        <v>0.25714290000000001</v>
      </c>
      <c r="G23" s="8">
        <v>0.39649289999999998</v>
      </c>
      <c r="H23" s="8">
        <v>0.10733192</v>
      </c>
      <c r="I23" s="8">
        <v>0.23888180000000001</v>
      </c>
      <c r="J23" s="8">
        <v>0.14788403</v>
      </c>
      <c r="K23" s="8">
        <v>0.13706298</v>
      </c>
      <c r="L23" s="5"/>
      <c r="M23" s="5"/>
      <c r="N23" s="5"/>
      <c r="O23" s="5"/>
      <c r="P23" s="5"/>
      <c r="Q23" s="27" t="s">
        <v>127</v>
      </c>
      <c r="R23" s="5"/>
      <c r="S23" s="28">
        <v>20.779816499999999</v>
      </c>
      <c r="T23" s="28">
        <v>20.779816499999999</v>
      </c>
      <c r="U23" s="29">
        <v>0</v>
      </c>
      <c r="V23" s="8"/>
      <c r="W23" s="2"/>
      <c r="X23" s="2"/>
      <c r="Y23" s="8"/>
      <c r="Z23" s="8"/>
    </row>
    <row r="24" spans="2:26" x14ac:dyDescent="0.2">
      <c r="B24" s="8">
        <v>4</v>
      </c>
      <c r="C24" s="8">
        <v>900</v>
      </c>
      <c r="D24" s="8">
        <v>0.47474630000000001</v>
      </c>
      <c r="E24" s="8">
        <v>0.76600000000000001</v>
      </c>
      <c r="F24" s="8">
        <v>0.27428570000000002</v>
      </c>
      <c r="G24" s="8">
        <v>0.39841850000000001</v>
      </c>
      <c r="H24" s="8">
        <v>0.10437963</v>
      </c>
      <c r="I24" s="8">
        <v>0.27252589999999999</v>
      </c>
      <c r="J24" s="8">
        <v>0.13539671</v>
      </c>
      <c r="K24" s="8">
        <v>0.13719707</v>
      </c>
      <c r="L24" s="5"/>
      <c r="M24" s="51" t="s">
        <v>69</v>
      </c>
      <c r="N24" s="51"/>
      <c r="O24" s="5"/>
      <c r="P24" s="5"/>
      <c r="Q24" s="27" t="s">
        <v>126</v>
      </c>
      <c r="R24" s="5"/>
      <c r="S24" s="28">
        <v>26.284403699999999</v>
      </c>
      <c r="T24" s="28">
        <v>26.284403699999999</v>
      </c>
      <c r="U24" s="29">
        <v>0</v>
      </c>
      <c r="V24" s="8"/>
      <c r="W24" s="2"/>
      <c r="X24" s="2"/>
      <c r="Y24" s="8"/>
      <c r="Z24" s="8"/>
    </row>
    <row r="25" spans="2:26" x14ac:dyDescent="0.2">
      <c r="B25" s="8">
        <v>4</v>
      </c>
      <c r="C25" s="8">
        <v>1100</v>
      </c>
      <c r="D25" s="8">
        <v>0.47461969999999998</v>
      </c>
      <c r="E25" s="8">
        <v>0.76149069999999996</v>
      </c>
      <c r="F25" s="8">
        <v>0.29214289999999998</v>
      </c>
      <c r="G25" s="8">
        <v>0.4245274</v>
      </c>
      <c r="H25" s="8">
        <v>0.10587889</v>
      </c>
      <c r="I25" s="8">
        <v>0.22126979999999999</v>
      </c>
      <c r="J25" s="8">
        <v>0.16599140000000001</v>
      </c>
      <c r="K25" s="8">
        <v>0.14278492000000001</v>
      </c>
      <c r="L25" s="5"/>
      <c r="M25" s="5" t="s">
        <v>22</v>
      </c>
      <c r="N25" s="5">
        <v>0.22222</v>
      </c>
      <c r="O25" s="5"/>
      <c r="P25" s="5"/>
      <c r="Q25" s="27" t="s">
        <v>125</v>
      </c>
      <c r="R25" s="5"/>
      <c r="S25" s="28">
        <v>0.2293578</v>
      </c>
      <c r="T25" s="28">
        <v>0.2293578</v>
      </c>
      <c r="U25" s="29">
        <v>2.490379E-3</v>
      </c>
      <c r="V25" s="8"/>
      <c r="W25" s="2"/>
      <c r="X25" s="2"/>
      <c r="Y25" s="8"/>
      <c r="Z25" s="8"/>
    </row>
    <row r="26" spans="2:26" x14ac:dyDescent="0.2">
      <c r="B26" s="8">
        <v>4</v>
      </c>
      <c r="C26" s="8">
        <v>1300</v>
      </c>
      <c r="D26" s="8">
        <v>0.4798461</v>
      </c>
      <c r="E26" s="8">
        <v>0.76458329999999997</v>
      </c>
      <c r="F26" s="8">
        <v>0.27428570000000002</v>
      </c>
      <c r="G26" s="8">
        <v>0.39679809999999999</v>
      </c>
      <c r="H26" s="8">
        <v>9.9272070000000004E-2</v>
      </c>
      <c r="I26" s="8">
        <v>0.2285383</v>
      </c>
      <c r="J26" s="8">
        <v>0.14153780999999999</v>
      </c>
      <c r="K26" s="8">
        <v>0.14345583000000001</v>
      </c>
      <c r="L26" s="5"/>
      <c r="M26" s="5" t="s">
        <v>21</v>
      </c>
      <c r="N26" s="5">
        <v>0.97297</v>
      </c>
      <c r="O26" s="5"/>
      <c r="P26" s="5"/>
      <c r="Q26" s="18"/>
      <c r="R26" s="19"/>
      <c r="S26" s="20"/>
      <c r="T26" s="19"/>
      <c r="V26" s="8"/>
      <c r="W26" s="2"/>
      <c r="X26" s="2"/>
      <c r="Y26" s="8"/>
      <c r="Z26" s="8"/>
    </row>
    <row r="27" spans="2:26" x14ac:dyDescent="0.2">
      <c r="B27" s="8">
        <v>5</v>
      </c>
      <c r="C27" s="8">
        <v>100</v>
      </c>
      <c r="D27" s="8">
        <v>0.4676054</v>
      </c>
      <c r="E27" s="8">
        <v>0.76408730000000002</v>
      </c>
      <c r="F27" s="8">
        <v>0.29071429999999998</v>
      </c>
      <c r="G27" s="8">
        <v>0.41696709999999998</v>
      </c>
      <c r="H27" s="8">
        <v>8.4052509999999997E-2</v>
      </c>
      <c r="I27" s="8">
        <v>0.22464809999999999</v>
      </c>
      <c r="J27" s="8">
        <v>0.11839703</v>
      </c>
      <c r="K27" s="8">
        <v>0.10524798</v>
      </c>
      <c r="L27" s="5"/>
      <c r="M27" s="5" t="s">
        <v>20</v>
      </c>
      <c r="N27" s="5">
        <v>0.66666999999999998</v>
      </c>
      <c r="O27" s="5"/>
      <c r="P27" s="5"/>
      <c r="R27" s="19"/>
      <c r="S27" s="20"/>
      <c r="T27" s="19"/>
      <c r="U27" s="18"/>
      <c r="V27" s="8"/>
      <c r="W27" s="2"/>
      <c r="X27" s="2"/>
      <c r="Y27" s="8"/>
      <c r="Z27" s="8"/>
    </row>
    <row r="28" spans="2:26" x14ac:dyDescent="0.2">
      <c r="B28" s="8">
        <v>5</v>
      </c>
      <c r="C28" s="8">
        <v>300</v>
      </c>
      <c r="D28" s="8">
        <v>0.46055550000000001</v>
      </c>
      <c r="E28" s="8">
        <v>0.73</v>
      </c>
      <c r="F28" s="8">
        <v>0.28499999999999998</v>
      </c>
      <c r="G28" s="8">
        <v>0.40087089999999997</v>
      </c>
      <c r="H28" s="8">
        <v>0.10135251000000001</v>
      </c>
      <c r="I28" s="8">
        <v>0.2729299</v>
      </c>
      <c r="J28" s="8">
        <v>0.15715977</v>
      </c>
      <c r="K28" s="8">
        <v>0.14856236</v>
      </c>
      <c r="L28" s="5"/>
      <c r="M28" s="5" t="s">
        <v>19</v>
      </c>
      <c r="N28" s="5">
        <v>0.83721000000000001</v>
      </c>
      <c r="O28" s="5"/>
      <c r="P28" s="5"/>
      <c r="Q28" s="18"/>
      <c r="R28" s="19"/>
      <c r="S28" s="19"/>
      <c r="T28" s="19"/>
      <c r="U28" s="19"/>
      <c r="V28" s="8"/>
      <c r="W28" s="2"/>
      <c r="X28" s="2"/>
      <c r="Y28" s="8"/>
      <c r="Z28" s="8"/>
    </row>
    <row r="29" spans="2:26" x14ac:dyDescent="0.2">
      <c r="B29" s="8">
        <v>5</v>
      </c>
      <c r="C29" s="8">
        <v>500</v>
      </c>
      <c r="D29" s="8">
        <v>0.46831420000000001</v>
      </c>
      <c r="E29" s="8">
        <v>0.77599209999999996</v>
      </c>
      <c r="F29" s="8">
        <v>0.29142859999999998</v>
      </c>
      <c r="G29" s="8">
        <v>0.40553909999999999</v>
      </c>
      <c r="H29" s="8">
        <v>0.11103414</v>
      </c>
      <c r="I29" s="8">
        <v>0.239866</v>
      </c>
      <c r="J29" s="8">
        <v>0.17660524999999999</v>
      </c>
      <c r="K29" s="8">
        <v>0.16509642999999999</v>
      </c>
      <c r="L29" s="9"/>
      <c r="M29" s="5" t="s">
        <v>18</v>
      </c>
      <c r="N29" s="5">
        <v>0.82609999999999995</v>
      </c>
      <c r="O29" s="5"/>
      <c r="P29" s="5"/>
      <c r="Q29" s="52" t="s">
        <v>111</v>
      </c>
      <c r="R29" s="52"/>
      <c r="S29" s="5"/>
      <c r="U29" s="19"/>
      <c r="V29" s="8"/>
      <c r="W29" s="2"/>
      <c r="X29" s="2"/>
      <c r="Y29" s="8"/>
      <c r="Z29" s="8"/>
    </row>
    <row r="30" spans="2:26" x14ac:dyDescent="0.2">
      <c r="B30" s="8">
        <v>5</v>
      </c>
      <c r="C30" s="8">
        <v>700</v>
      </c>
      <c r="D30" s="8">
        <v>0.47029929999999998</v>
      </c>
      <c r="E30" s="8">
        <v>0.70659720000000004</v>
      </c>
      <c r="F30" s="8">
        <v>0.28499999999999998</v>
      </c>
      <c r="G30" s="8">
        <v>0.39652779999999999</v>
      </c>
      <c r="H30" s="8">
        <v>0.10533202</v>
      </c>
      <c r="I30" s="8">
        <v>0.23473930000000001</v>
      </c>
      <c r="J30" s="8">
        <v>0.1516526</v>
      </c>
      <c r="K30" s="8">
        <v>0.14376900000000001</v>
      </c>
      <c r="L30" s="10"/>
      <c r="M30" s="5" t="s">
        <v>17</v>
      </c>
      <c r="N30" s="5">
        <v>0.33329999999999999</v>
      </c>
      <c r="O30" s="5"/>
      <c r="P30" s="5"/>
      <c r="Q30" s="5" t="s">
        <v>38</v>
      </c>
      <c r="R30" s="5" t="s">
        <v>112</v>
      </c>
      <c r="U30" s="19"/>
      <c r="V30" s="8"/>
      <c r="W30" s="2"/>
      <c r="X30" s="2"/>
      <c r="Y30" s="8"/>
      <c r="Z30" s="8"/>
    </row>
    <row r="31" spans="2:26" x14ac:dyDescent="0.2">
      <c r="B31" s="8">
        <v>5</v>
      </c>
      <c r="C31" s="8">
        <v>900</v>
      </c>
      <c r="D31" s="8">
        <v>0.47382269999999999</v>
      </c>
      <c r="E31" s="8">
        <v>0.73390480000000002</v>
      </c>
      <c r="F31" s="8">
        <v>0.28571429999999998</v>
      </c>
      <c r="G31" s="8">
        <v>0.40222530000000001</v>
      </c>
      <c r="H31" s="8">
        <v>0.10309899</v>
      </c>
      <c r="I31" s="8">
        <v>0.2713836</v>
      </c>
      <c r="J31" s="8">
        <v>0.16423071</v>
      </c>
      <c r="K31" s="8">
        <v>0.1554856</v>
      </c>
      <c r="L31" s="10"/>
      <c r="M31" s="5" t="s">
        <v>28</v>
      </c>
      <c r="N31" s="5">
        <v>0.31359999999999999</v>
      </c>
      <c r="O31" s="5"/>
      <c r="P31" s="5"/>
      <c r="Q31" s="16" t="s">
        <v>73</v>
      </c>
      <c r="R31" s="16">
        <v>0.56866079999999997</v>
      </c>
      <c r="U31" s="3"/>
      <c r="V31" s="8"/>
      <c r="W31" s="2"/>
      <c r="X31" s="2"/>
      <c r="Y31" s="8"/>
      <c r="Z31" s="8"/>
    </row>
    <row r="32" spans="2:26" x14ac:dyDescent="0.2">
      <c r="B32" s="8">
        <v>5</v>
      </c>
      <c r="C32" s="8">
        <v>1100</v>
      </c>
      <c r="D32" s="8">
        <v>0.46680260000000001</v>
      </c>
      <c r="E32" s="8">
        <v>0.73666670000000001</v>
      </c>
      <c r="F32" s="8">
        <v>0.28571429999999998</v>
      </c>
      <c r="G32" s="8">
        <v>0.40173039999999999</v>
      </c>
      <c r="H32" s="8">
        <v>0.10132012999999999</v>
      </c>
      <c r="I32" s="8">
        <v>0.2631715</v>
      </c>
      <c r="J32" s="8">
        <v>0.15896869</v>
      </c>
      <c r="K32" s="8">
        <v>0.14719341999999999</v>
      </c>
      <c r="L32" s="10"/>
      <c r="M32" s="5" t="s">
        <v>33</v>
      </c>
      <c r="N32" s="5">
        <v>0.59760000000000002</v>
      </c>
      <c r="O32" s="5"/>
      <c r="P32" s="5"/>
      <c r="Q32" s="16" t="s">
        <v>74</v>
      </c>
      <c r="R32" s="16">
        <v>0.51118790000000003</v>
      </c>
      <c r="U32" s="19"/>
      <c r="V32" s="8"/>
      <c r="W32" s="2"/>
      <c r="X32" s="2"/>
      <c r="Y32" s="8"/>
      <c r="Z32" s="8"/>
    </row>
    <row r="33" spans="2:26" x14ac:dyDescent="0.2">
      <c r="B33" s="8">
        <v>5</v>
      </c>
      <c r="C33" s="8">
        <v>1300</v>
      </c>
      <c r="D33" s="8">
        <v>0.4645801</v>
      </c>
      <c r="E33" s="8">
        <v>0.74305560000000004</v>
      </c>
      <c r="F33" s="8">
        <v>0.29642859999999999</v>
      </c>
      <c r="G33" s="8">
        <v>0.40704639999999997</v>
      </c>
      <c r="H33" s="8">
        <v>0.10147264</v>
      </c>
      <c r="I33" s="8">
        <v>0.22569900000000001</v>
      </c>
      <c r="J33" s="8">
        <v>0.17715210000000001</v>
      </c>
      <c r="K33" s="8">
        <v>0.15689348</v>
      </c>
      <c r="L33" s="5"/>
      <c r="M33" s="5"/>
      <c r="N33" s="5"/>
      <c r="O33" s="5"/>
      <c r="P33" s="5"/>
      <c r="Q33" s="16" t="s">
        <v>75</v>
      </c>
      <c r="R33" s="16">
        <v>0.56197889999999995</v>
      </c>
      <c r="U33" s="3"/>
      <c r="V33" s="8"/>
      <c r="W33" s="2"/>
      <c r="X33" s="2"/>
      <c r="Y33" s="8"/>
      <c r="Z33" s="8"/>
    </row>
    <row r="34" spans="2:26" x14ac:dyDescent="0.2">
      <c r="B34" s="8">
        <v>6</v>
      </c>
      <c r="C34" s="8">
        <v>100</v>
      </c>
      <c r="D34" s="8">
        <v>0.45166319999999999</v>
      </c>
      <c r="E34" s="8">
        <v>0.67238100000000001</v>
      </c>
      <c r="F34" s="8">
        <v>0.32</v>
      </c>
      <c r="G34" s="8">
        <v>0.41154439999999998</v>
      </c>
      <c r="H34" s="8">
        <v>0.10716414</v>
      </c>
      <c r="I34" s="8">
        <v>0.25245529999999999</v>
      </c>
      <c r="J34" s="8">
        <v>0.18041607000000001</v>
      </c>
      <c r="K34" s="8">
        <v>0.13544363000000001</v>
      </c>
      <c r="L34" s="5"/>
      <c r="M34" s="49" t="s">
        <v>149</v>
      </c>
      <c r="N34" s="49"/>
      <c r="O34" s="49"/>
      <c r="P34" s="5"/>
      <c r="Q34" s="16" t="s">
        <v>76</v>
      </c>
      <c r="R34" s="16">
        <v>0.51883089999999998</v>
      </c>
      <c r="U34" s="19"/>
      <c r="V34" s="8"/>
      <c r="W34" s="2"/>
      <c r="X34" s="2"/>
      <c r="Y34" s="8"/>
      <c r="Z34" s="8"/>
    </row>
    <row r="35" spans="2:26" x14ac:dyDescent="0.2">
      <c r="B35" s="8">
        <v>6</v>
      </c>
      <c r="C35" s="8">
        <v>300</v>
      </c>
      <c r="D35" s="8">
        <v>0.4517043</v>
      </c>
      <c r="E35" s="8">
        <v>0.68888890000000003</v>
      </c>
      <c r="F35" s="8">
        <v>0.28499999999999998</v>
      </c>
      <c r="G35" s="8">
        <v>0.38714870000000001</v>
      </c>
      <c r="H35" s="8">
        <v>0.10315575</v>
      </c>
      <c r="I35" s="8">
        <v>0.24305160000000001</v>
      </c>
      <c r="J35" s="8">
        <v>0.17378098</v>
      </c>
      <c r="K35" s="8">
        <v>0.14777613000000001</v>
      </c>
      <c r="L35" s="5"/>
      <c r="M35" s="9" t="s">
        <v>143</v>
      </c>
      <c r="N35" s="9" t="s">
        <v>10</v>
      </c>
      <c r="O35" s="9" t="s">
        <v>11</v>
      </c>
      <c r="P35" s="5"/>
      <c r="Q35" s="16" t="s">
        <v>77</v>
      </c>
      <c r="R35" s="16">
        <v>0.56661919999999999</v>
      </c>
      <c r="U35" s="3"/>
      <c r="V35" s="8"/>
      <c r="W35" s="2"/>
      <c r="X35" s="2"/>
      <c r="Y35" s="8"/>
      <c r="Z35" s="8"/>
    </row>
    <row r="36" spans="2:26" ht="16" customHeight="1" x14ac:dyDescent="0.2">
      <c r="B36" s="8">
        <v>6</v>
      </c>
      <c r="C36" s="8">
        <v>500</v>
      </c>
      <c r="D36" s="8">
        <v>0.45871129999999999</v>
      </c>
      <c r="E36" s="8">
        <v>0.69464289999999995</v>
      </c>
      <c r="F36" s="8">
        <v>0.29714289999999999</v>
      </c>
      <c r="G36" s="8">
        <v>0.39951920000000002</v>
      </c>
      <c r="H36" s="8">
        <v>0.10540338</v>
      </c>
      <c r="I36" s="8">
        <v>0.2260518</v>
      </c>
      <c r="J36" s="8">
        <v>0.18231784000000001</v>
      </c>
      <c r="K36" s="8">
        <v>0.15549446</v>
      </c>
      <c r="L36" s="5"/>
      <c r="M36" s="9" t="s">
        <v>8</v>
      </c>
      <c r="N36" s="10">
        <v>12</v>
      </c>
      <c r="O36" s="10">
        <v>24</v>
      </c>
      <c r="P36" s="5"/>
      <c r="Q36" s="18"/>
      <c r="R36" s="19"/>
      <c r="S36" s="19"/>
      <c r="T36" s="19"/>
      <c r="U36" s="19"/>
      <c r="V36" s="8"/>
      <c r="X36" s="2"/>
      <c r="Y36" s="8"/>
      <c r="Z36" s="8"/>
    </row>
    <row r="37" spans="2:26" x14ac:dyDescent="0.2">
      <c r="B37" s="8">
        <v>6</v>
      </c>
      <c r="C37" s="8">
        <v>700</v>
      </c>
      <c r="D37" s="8">
        <v>0.4566461</v>
      </c>
      <c r="E37" s="8">
        <v>0.68645829999999997</v>
      </c>
      <c r="F37" s="8">
        <v>0.29714289999999999</v>
      </c>
      <c r="G37" s="8">
        <v>0.401308</v>
      </c>
      <c r="H37" s="8">
        <v>9.4766639999999999E-2</v>
      </c>
      <c r="I37" s="8">
        <v>0.21177319999999999</v>
      </c>
      <c r="J37" s="8">
        <v>0.15854019</v>
      </c>
      <c r="K37" s="8">
        <v>0.13788685000000001</v>
      </c>
      <c r="M37" s="9" t="s">
        <v>9</v>
      </c>
      <c r="N37" s="10">
        <v>7</v>
      </c>
      <c r="O37" s="10">
        <v>142</v>
      </c>
      <c r="Q37" s="12" t="s">
        <v>13</v>
      </c>
      <c r="R37" s="19"/>
      <c r="S37" s="19"/>
      <c r="T37" s="19"/>
      <c r="U37" s="19"/>
      <c r="V37" s="8"/>
      <c r="X37" s="2"/>
      <c r="Y37" s="8"/>
      <c r="Z37" s="8"/>
    </row>
    <row r="38" spans="2:26" x14ac:dyDescent="0.2">
      <c r="B38" s="8">
        <v>6</v>
      </c>
      <c r="C38" s="8">
        <v>900</v>
      </c>
      <c r="D38" s="8">
        <v>0.46315400000000001</v>
      </c>
      <c r="E38" s="8">
        <v>0.69666669999999997</v>
      </c>
      <c r="F38" s="8">
        <v>0.30785709999999999</v>
      </c>
      <c r="G38" s="8">
        <v>0.41035840000000001</v>
      </c>
      <c r="H38" s="8">
        <v>0.10839835</v>
      </c>
      <c r="I38" s="8">
        <v>0.26793830000000002</v>
      </c>
      <c r="J38" s="8">
        <v>0.17604462000000001</v>
      </c>
      <c r="K38" s="8">
        <v>0.14524686000000001</v>
      </c>
      <c r="M38" s="2"/>
      <c r="Q38" s="4" t="s">
        <v>162</v>
      </c>
      <c r="R38" s="19"/>
      <c r="S38" s="19"/>
      <c r="T38" s="19"/>
      <c r="U38" s="19"/>
      <c r="V38" s="8"/>
      <c r="X38" s="2"/>
      <c r="Y38" s="8"/>
      <c r="Z38" s="8"/>
    </row>
    <row r="39" spans="2:26" x14ac:dyDescent="0.2">
      <c r="B39" s="8">
        <v>6</v>
      </c>
      <c r="C39" s="8">
        <v>1100</v>
      </c>
      <c r="D39" s="8">
        <v>0.46650989999999998</v>
      </c>
      <c r="E39" s="8">
        <v>0.69780949999999997</v>
      </c>
      <c r="F39" s="8">
        <v>0.3071429</v>
      </c>
      <c r="G39" s="8">
        <v>0.41853050000000003</v>
      </c>
      <c r="H39" s="8">
        <v>0.10864772</v>
      </c>
      <c r="I39" s="8">
        <v>0.27279829999999999</v>
      </c>
      <c r="J39" s="8">
        <v>0.17450731999999999</v>
      </c>
      <c r="K39" s="8">
        <v>0.15501555</v>
      </c>
      <c r="M39" s="12" t="s">
        <v>147</v>
      </c>
      <c r="O39" s="54" t="s">
        <v>148</v>
      </c>
      <c r="Q39" s="5" t="s">
        <v>144</v>
      </c>
      <c r="R39" s="19"/>
      <c r="S39" s="19"/>
      <c r="T39" s="19"/>
      <c r="U39" s="3"/>
      <c r="V39" s="8"/>
      <c r="X39" s="2"/>
      <c r="Y39" s="8"/>
      <c r="Z39" s="8"/>
    </row>
    <row r="40" spans="2:26" x14ac:dyDescent="0.2">
      <c r="B40" s="8">
        <v>6</v>
      </c>
      <c r="C40" s="8">
        <v>1300</v>
      </c>
      <c r="D40" s="8">
        <v>0.46681070000000002</v>
      </c>
      <c r="E40" s="8">
        <v>0.73095239999999995</v>
      </c>
      <c r="F40" s="8">
        <v>0.29071429999999998</v>
      </c>
      <c r="G40" s="8">
        <v>0.39950649999999999</v>
      </c>
      <c r="H40" s="8">
        <v>0.11262804</v>
      </c>
      <c r="I40" s="8">
        <v>0.23726459999999999</v>
      </c>
      <c r="J40" s="8">
        <v>0.15976239</v>
      </c>
      <c r="K40" s="8">
        <v>0.14937253</v>
      </c>
      <c r="M40" s="26" t="s">
        <v>163</v>
      </c>
      <c r="O40" s="54"/>
      <c r="Q40" s="18"/>
      <c r="R40" s="19"/>
      <c r="S40" s="19"/>
      <c r="T40" s="19"/>
      <c r="U40" s="19"/>
      <c r="V40" s="8"/>
    </row>
    <row r="41" spans="2:26" x14ac:dyDescent="0.2">
      <c r="B41" s="8">
        <v>7</v>
      </c>
      <c r="C41" s="8">
        <v>100</v>
      </c>
      <c r="D41" s="8">
        <v>0.43658390000000002</v>
      </c>
      <c r="E41" s="8">
        <v>0.66385709999999998</v>
      </c>
      <c r="F41" s="8">
        <v>0.29642859999999999</v>
      </c>
      <c r="G41" s="8">
        <v>0.39905560000000001</v>
      </c>
      <c r="H41" s="8">
        <v>0.10039641000000001</v>
      </c>
      <c r="I41" s="8">
        <v>0.2583376</v>
      </c>
      <c r="J41" s="8">
        <v>0.1525715</v>
      </c>
      <c r="K41" s="8">
        <v>0.12583885</v>
      </c>
      <c r="M41" s="5" t="s">
        <v>139</v>
      </c>
      <c r="Q41" s="18"/>
      <c r="R41" s="19"/>
      <c r="S41" s="19"/>
      <c r="T41" s="19"/>
      <c r="U41" s="3"/>
      <c r="V41" s="8"/>
    </row>
    <row r="42" spans="2:26" x14ac:dyDescent="0.2">
      <c r="B42" s="8">
        <v>7</v>
      </c>
      <c r="C42" s="8">
        <v>300</v>
      </c>
      <c r="D42" s="8">
        <v>0.44934030000000003</v>
      </c>
      <c r="E42" s="8">
        <v>0.67237100000000005</v>
      </c>
      <c r="F42" s="8">
        <v>0.29642859999999999</v>
      </c>
      <c r="G42" s="8">
        <v>0.39561869999999999</v>
      </c>
      <c r="H42" s="8">
        <v>0.10947018</v>
      </c>
      <c r="I42" s="8">
        <v>0.25370490000000001</v>
      </c>
      <c r="J42" s="8">
        <v>0.15804663999999999</v>
      </c>
      <c r="K42" s="8">
        <v>0.12220992</v>
      </c>
      <c r="M42" s="5" t="s">
        <v>164</v>
      </c>
      <c r="Q42" s="18"/>
      <c r="R42" s="2"/>
    </row>
    <row r="43" spans="2:26" x14ac:dyDescent="0.2">
      <c r="B43" s="8">
        <v>7</v>
      </c>
      <c r="C43" s="8">
        <v>500</v>
      </c>
      <c r="D43" s="8">
        <v>0.46539560000000002</v>
      </c>
      <c r="E43" s="8">
        <v>0.65428569999999997</v>
      </c>
      <c r="F43" s="8">
        <v>0.32500000000000001</v>
      </c>
      <c r="G43" s="8">
        <v>0.41876269999999999</v>
      </c>
      <c r="H43" s="8">
        <v>0.11583362</v>
      </c>
      <c r="I43" s="8">
        <v>0.28699370000000002</v>
      </c>
      <c r="J43" s="8">
        <v>0.18933343999999999</v>
      </c>
      <c r="K43" s="8">
        <v>0.16060498000000001</v>
      </c>
      <c r="Q43" s="18"/>
      <c r="R43" s="2"/>
    </row>
    <row r="44" spans="2:26" x14ac:dyDescent="0.2">
      <c r="B44" s="8">
        <v>7</v>
      </c>
      <c r="C44" s="8">
        <v>700</v>
      </c>
      <c r="D44" s="8">
        <v>0.45776109999999998</v>
      </c>
      <c r="E44" s="8">
        <v>0.67282540000000002</v>
      </c>
      <c r="F44" s="8">
        <v>0.32785710000000001</v>
      </c>
      <c r="G44" s="8">
        <v>0.43228139999999998</v>
      </c>
      <c r="H44" s="8">
        <v>0.10343774</v>
      </c>
      <c r="I44" s="8">
        <v>0.27038659999999998</v>
      </c>
      <c r="J44" s="8">
        <v>0.16543015</v>
      </c>
      <c r="K44" s="8">
        <v>0.14702929000000001</v>
      </c>
      <c r="M44" s="49" t="s">
        <v>108</v>
      </c>
      <c r="N44" s="49"/>
      <c r="O44" s="49"/>
      <c r="P44" s="49"/>
      <c r="Q44" s="49"/>
      <c r="R44" s="6"/>
    </row>
    <row r="45" spans="2:26" x14ac:dyDescent="0.2">
      <c r="B45" s="8">
        <v>7</v>
      </c>
      <c r="C45" s="8">
        <v>900</v>
      </c>
      <c r="D45" s="8">
        <v>0.4581635</v>
      </c>
      <c r="E45" s="8">
        <v>0.64914289999999997</v>
      </c>
      <c r="F45" s="8">
        <v>0.3121429</v>
      </c>
      <c r="G45" s="8">
        <v>0.41164279999999998</v>
      </c>
      <c r="H45" s="8">
        <v>0.10872250999999999</v>
      </c>
      <c r="I45" s="8">
        <v>0.27768979999999999</v>
      </c>
      <c r="J45" s="8">
        <v>0.17828250000000001</v>
      </c>
      <c r="K45" s="8">
        <v>0.15832666000000001</v>
      </c>
      <c r="M45" s="5" t="s">
        <v>112</v>
      </c>
      <c r="N45" s="5" t="s">
        <v>5</v>
      </c>
      <c r="O45" s="5" t="s">
        <v>6</v>
      </c>
      <c r="P45" s="5" t="s">
        <v>7</v>
      </c>
      <c r="Q45" s="5" t="s">
        <v>38</v>
      </c>
      <c r="R45" s="5"/>
    </row>
    <row r="46" spans="2:26" x14ac:dyDescent="0.2">
      <c r="B46" s="8">
        <v>7</v>
      </c>
      <c r="C46" s="8">
        <v>1100</v>
      </c>
      <c r="D46" s="8">
        <v>0.46881299999999998</v>
      </c>
      <c r="E46" s="8">
        <v>0.68780949999999996</v>
      </c>
      <c r="F46" s="8">
        <v>0.31928570000000001</v>
      </c>
      <c r="G46" s="8">
        <v>0.42037920000000001</v>
      </c>
      <c r="H46" s="8">
        <v>0.11847127</v>
      </c>
      <c r="I46" s="8">
        <v>0.26654909999999998</v>
      </c>
      <c r="J46" s="8">
        <v>0.17415064</v>
      </c>
      <c r="K46" s="8">
        <v>0.13905127</v>
      </c>
      <c r="L46" s="2"/>
      <c r="M46" s="8">
        <v>0.4995463</v>
      </c>
      <c r="N46" s="8">
        <v>0.75</v>
      </c>
      <c r="O46" s="8">
        <v>0.42857139999999999</v>
      </c>
      <c r="P46" s="8">
        <v>0.54545449999999995</v>
      </c>
      <c r="Q46" s="8" t="s">
        <v>58</v>
      </c>
      <c r="R46" s="11"/>
    </row>
    <row r="47" spans="2:26" x14ac:dyDescent="0.2">
      <c r="B47" s="8">
        <v>7</v>
      </c>
      <c r="C47" s="8">
        <v>1300</v>
      </c>
      <c r="D47" s="8">
        <v>0.46527489999999999</v>
      </c>
      <c r="E47" s="8">
        <v>0.69126980000000005</v>
      </c>
      <c r="F47" s="8">
        <v>0.32928570000000001</v>
      </c>
      <c r="G47" s="8">
        <v>0.42781150000000001</v>
      </c>
      <c r="H47" s="8">
        <v>0.10955974</v>
      </c>
      <c r="I47" s="8">
        <v>0.23533979999999999</v>
      </c>
      <c r="J47" s="8">
        <v>0.18298707</v>
      </c>
      <c r="K47" s="8">
        <v>0.15352855000000001</v>
      </c>
      <c r="L47" s="2"/>
      <c r="M47" s="8">
        <v>0.4291893</v>
      </c>
      <c r="N47" s="8">
        <v>0.75</v>
      </c>
      <c r="O47" s="8">
        <v>0.375</v>
      </c>
      <c r="P47" s="8">
        <v>0.5</v>
      </c>
      <c r="Q47" s="8" t="s">
        <v>52</v>
      </c>
      <c r="R47" s="11"/>
    </row>
    <row r="48" spans="2:26" x14ac:dyDescent="0.2">
      <c r="B48" s="8">
        <v>8</v>
      </c>
      <c r="C48" s="8">
        <v>100</v>
      </c>
      <c r="D48" s="8">
        <v>0.43125469999999999</v>
      </c>
      <c r="E48" s="8">
        <v>0.65533330000000001</v>
      </c>
      <c r="F48" s="8">
        <v>0.33642860000000002</v>
      </c>
      <c r="G48" s="8">
        <v>0.4374614</v>
      </c>
      <c r="H48" s="8">
        <v>0.10643728</v>
      </c>
      <c r="I48" s="8">
        <v>0.23997109999999999</v>
      </c>
      <c r="J48" s="8">
        <v>0.17226051000000001</v>
      </c>
      <c r="K48" s="8">
        <v>0.14682465</v>
      </c>
      <c r="L48" s="2"/>
      <c r="M48" s="8">
        <v>0.52162830000000004</v>
      </c>
      <c r="N48" s="8">
        <v>0.66666669999999995</v>
      </c>
      <c r="O48" s="8">
        <v>0.57142859999999995</v>
      </c>
      <c r="P48" s="8">
        <v>0.61538459999999995</v>
      </c>
      <c r="Q48" s="8" t="s">
        <v>54</v>
      </c>
      <c r="R48" s="11"/>
    </row>
    <row r="49" spans="2:43" x14ac:dyDescent="0.2">
      <c r="B49" s="8">
        <v>8</v>
      </c>
      <c r="C49" s="8">
        <v>300</v>
      </c>
      <c r="D49" s="8">
        <v>0.46150730000000001</v>
      </c>
      <c r="E49" s="8">
        <v>0.69768520000000001</v>
      </c>
      <c r="F49" s="8">
        <v>0.34571429999999997</v>
      </c>
      <c r="G49" s="8">
        <v>0.44133640000000002</v>
      </c>
      <c r="H49" s="8">
        <v>9.9633109999999997E-2</v>
      </c>
      <c r="I49" s="8">
        <v>0.2448844</v>
      </c>
      <c r="J49" s="8">
        <v>0.18463514</v>
      </c>
      <c r="K49" s="8">
        <v>0.14972589</v>
      </c>
      <c r="L49" s="3"/>
      <c r="M49" s="8">
        <v>0.3255614</v>
      </c>
      <c r="N49" s="8">
        <v>0.42857139999999999</v>
      </c>
      <c r="O49" s="8">
        <v>0.42857139999999999</v>
      </c>
      <c r="P49" s="8">
        <v>0.42857139999999999</v>
      </c>
      <c r="Q49" s="8" t="s">
        <v>63</v>
      </c>
      <c r="R49" s="11"/>
      <c r="AQ49" s="2"/>
    </row>
    <row r="50" spans="2:43" x14ac:dyDescent="0.2">
      <c r="B50" s="8">
        <v>8</v>
      </c>
      <c r="C50" s="8">
        <v>500</v>
      </c>
      <c r="D50" s="8">
        <v>0.46750940000000002</v>
      </c>
      <c r="E50" s="8">
        <v>0.66358729999999999</v>
      </c>
      <c r="F50" s="8">
        <v>0.32428570000000001</v>
      </c>
      <c r="G50" s="8">
        <v>0.41782960000000002</v>
      </c>
      <c r="H50" s="8">
        <v>0.11582929</v>
      </c>
      <c r="I50" s="8">
        <v>0.2687851</v>
      </c>
      <c r="J50" s="8">
        <v>0.18447675999999999</v>
      </c>
      <c r="K50" s="8">
        <v>0.14753695</v>
      </c>
      <c r="L50" s="3"/>
      <c r="M50" s="8">
        <v>0.46019379999999999</v>
      </c>
      <c r="N50" s="8">
        <v>0.66666669999999995</v>
      </c>
      <c r="O50" s="8">
        <v>0.28571429999999998</v>
      </c>
      <c r="P50" s="8">
        <v>0.4</v>
      </c>
      <c r="Q50" s="8" t="s">
        <v>57</v>
      </c>
      <c r="R50" s="11"/>
      <c r="AQ50" s="2"/>
    </row>
    <row r="51" spans="2:43" x14ac:dyDescent="0.2">
      <c r="B51" s="8">
        <v>8</v>
      </c>
      <c r="C51" s="8">
        <v>700</v>
      </c>
      <c r="D51" s="8">
        <v>0.4620319</v>
      </c>
      <c r="E51" s="8">
        <v>0.67576060000000004</v>
      </c>
      <c r="F51" s="8">
        <v>0.32428570000000001</v>
      </c>
      <c r="G51" s="8">
        <v>0.42035230000000001</v>
      </c>
      <c r="H51" s="8">
        <v>0.11044631000000001</v>
      </c>
      <c r="I51" s="8">
        <v>0.24880869999999999</v>
      </c>
      <c r="J51" s="8">
        <v>0.18339322999999999</v>
      </c>
      <c r="K51" s="8">
        <v>0.15822729999999999</v>
      </c>
      <c r="L51" s="3"/>
      <c r="M51" s="8">
        <v>0.45478269999999998</v>
      </c>
      <c r="N51" s="8">
        <v>1</v>
      </c>
      <c r="O51" s="8">
        <v>0.125</v>
      </c>
      <c r="P51" s="8">
        <v>0.22222220000000001</v>
      </c>
      <c r="Q51" s="8" t="s">
        <v>53</v>
      </c>
      <c r="R51" s="11"/>
      <c r="AQ51" s="2"/>
    </row>
    <row r="52" spans="2:43" x14ac:dyDescent="0.2">
      <c r="B52" s="8">
        <v>8</v>
      </c>
      <c r="C52" s="8">
        <v>900</v>
      </c>
      <c r="D52" s="8">
        <v>0.45326509999999998</v>
      </c>
      <c r="E52" s="8">
        <v>0.67179230000000001</v>
      </c>
      <c r="F52" s="8">
        <v>0.32428570000000001</v>
      </c>
      <c r="G52" s="8">
        <v>0.41886079999999998</v>
      </c>
      <c r="H52" s="8">
        <v>0.11123358999999999</v>
      </c>
      <c r="I52" s="8">
        <v>0.24516060000000001</v>
      </c>
      <c r="J52" s="8">
        <v>0.18447675999999999</v>
      </c>
      <c r="K52" s="8">
        <v>0.1558051</v>
      </c>
      <c r="L52" s="3"/>
      <c r="M52" s="8">
        <v>0.31234139999999999</v>
      </c>
      <c r="N52" s="8">
        <v>0.42857139999999999</v>
      </c>
      <c r="O52" s="8">
        <v>0.42857139999999999</v>
      </c>
      <c r="P52" s="8">
        <v>0.42857139999999999</v>
      </c>
      <c r="Q52" s="8" t="s">
        <v>55</v>
      </c>
      <c r="R52" s="11"/>
      <c r="AQ52" s="2"/>
    </row>
    <row r="53" spans="2:43" x14ac:dyDescent="0.2">
      <c r="B53" s="8">
        <v>8</v>
      </c>
      <c r="C53" s="8">
        <v>1100</v>
      </c>
      <c r="D53" s="8">
        <v>0.46082980000000001</v>
      </c>
      <c r="E53" s="8">
        <v>0.65714289999999997</v>
      </c>
      <c r="F53" s="8">
        <v>0.32</v>
      </c>
      <c r="G53" s="8">
        <v>0.41843019999999997</v>
      </c>
      <c r="H53" s="8">
        <v>9.9866769999999994E-2</v>
      </c>
      <c r="I53" s="8">
        <v>0.27360590000000001</v>
      </c>
      <c r="J53" s="8">
        <v>0.17072960000000001</v>
      </c>
      <c r="K53" s="8">
        <v>0.13961920999999999</v>
      </c>
      <c r="L53" s="3"/>
      <c r="M53" s="8">
        <v>0.58530729999999997</v>
      </c>
      <c r="N53" s="8">
        <v>1</v>
      </c>
      <c r="O53" s="8">
        <v>0.28571429999999998</v>
      </c>
      <c r="P53" s="8">
        <v>0.44444440000000002</v>
      </c>
      <c r="Q53" s="8" t="s">
        <v>42</v>
      </c>
      <c r="R53" s="11"/>
      <c r="AQ53" s="2"/>
    </row>
    <row r="54" spans="2:43" x14ac:dyDescent="0.2">
      <c r="B54" s="8">
        <v>8</v>
      </c>
      <c r="C54" s="8">
        <v>1300</v>
      </c>
      <c r="D54" s="8">
        <v>0.4649008</v>
      </c>
      <c r="E54" s="8">
        <v>0.66814289999999998</v>
      </c>
      <c r="F54" s="8">
        <v>0.33428570000000002</v>
      </c>
      <c r="G54" s="8">
        <v>0.43547400000000003</v>
      </c>
      <c r="H54" s="8">
        <v>0.11592919</v>
      </c>
      <c r="I54" s="8">
        <v>0.27619969999999999</v>
      </c>
      <c r="J54" s="8">
        <v>0.16787297000000001</v>
      </c>
      <c r="K54" s="8">
        <v>0.14620553</v>
      </c>
      <c r="L54" s="3"/>
      <c r="M54" s="8">
        <v>0.64852739999999998</v>
      </c>
      <c r="N54" s="8">
        <v>1</v>
      </c>
      <c r="O54" s="8">
        <v>0.57142859999999995</v>
      </c>
      <c r="P54" s="8">
        <v>0.72727269999999999</v>
      </c>
      <c r="Q54" s="8" t="s">
        <v>44</v>
      </c>
      <c r="R54" s="11"/>
      <c r="AQ54" s="2"/>
    </row>
    <row r="55" spans="2:43" x14ac:dyDescent="0.2">
      <c r="B55" s="8">
        <v>9</v>
      </c>
      <c r="C55" s="8">
        <v>100</v>
      </c>
      <c r="D55" s="8">
        <v>0.4448455</v>
      </c>
      <c r="E55" s="8">
        <v>0.6372063</v>
      </c>
      <c r="F55" s="8">
        <v>0.31928570000000001</v>
      </c>
      <c r="G55" s="8">
        <v>0.41396060000000001</v>
      </c>
      <c r="H55" s="8">
        <v>8.9562160000000002E-2</v>
      </c>
      <c r="I55" s="8">
        <v>0.26579970000000003</v>
      </c>
      <c r="J55" s="8">
        <v>0.17037124000000001</v>
      </c>
      <c r="K55" s="8">
        <v>0.13093640000000001</v>
      </c>
      <c r="L55" s="3"/>
      <c r="M55" s="8">
        <v>0.35392679999999999</v>
      </c>
      <c r="N55" s="8">
        <v>0.5</v>
      </c>
      <c r="O55" s="8">
        <v>0.28571429999999998</v>
      </c>
      <c r="P55" s="8">
        <v>0.36363640000000003</v>
      </c>
      <c r="Q55" s="8" t="s">
        <v>51</v>
      </c>
      <c r="R55" s="11"/>
      <c r="AQ55" s="2"/>
    </row>
    <row r="56" spans="2:43" x14ac:dyDescent="0.2">
      <c r="B56" s="8">
        <v>9</v>
      </c>
      <c r="C56" s="8">
        <v>300</v>
      </c>
      <c r="D56" s="8">
        <v>0.46507169999999998</v>
      </c>
      <c r="E56" s="8">
        <v>0.63139679999999998</v>
      </c>
      <c r="F56" s="8">
        <v>0.35142859999999998</v>
      </c>
      <c r="G56" s="8">
        <v>0.4415386</v>
      </c>
      <c r="H56" s="8">
        <v>0.12462843</v>
      </c>
      <c r="I56" s="8">
        <v>0.26953719999999998</v>
      </c>
      <c r="J56" s="8">
        <v>0.18135625999999999</v>
      </c>
      <c r="K56" s="8">
        <v>0.14518396</v>
      </c>
      <c r="L56" s="3"/>
      <c r="M56" s="8">
        <v>0.52490170000000003</v>
      </c>
      <c r="N56" s="8">
        <v>0.75</v>
      </c>
      <c r="O56" s="8">
        <v>0.42857139999999999</v>
      </c>
      <c r="P56" s="8">
        <v>0.54545449999999995</v>
      </c>
      <c r="Q56" s="8" t="s">
        <v>56</v>
      </c>
      <c r="R56" s="11"/>
      <c r="AI56" s="2"/>
      <c r="AQ56" s="2"/>
    </row>
    <row r="57" spans="2:43" x14ac:dyDescent="0.2">
      <c r="B57" s="8">
        <v>9</v>
      </c>
      <c r="C57" s="8">
        <v>500</v>
      </c>
      <c r="D57" s="8">
        <v>0.45179239999999998</v>
      </c>
      <c r="E57" s="8">
        <v>0.66534389999999999</v>
      </c>
      <c r="F57" s="8">
        <v>0.34214290000000003</v>
      </c>
      <c r="G57" s="8">
        <v>0.43061260000000001</v>
      </c>
      <c r="H57" s="8">
        <v>9.9694710000000006E-2</v>
      </c>
      <c r="I57" s="8">
        <v>0.23717820000000001</v>
      </c>
      <c r="J57" s="8">
        <v>0.19154370000000001</v>
      </c>
      <c r="K57" s="8">
        <v>0.15701050999999999</v>
      </c>
      <c r="L57" s="3"/>
      <c r="M57" s="8">
        <v>0.39673789999999998</v>
      </c>
      <c r="N57" s="8">
        <v>0.3333333</v>
      </c>
      <c r="O57" s="8">
        <v>0.14285709999999999</v>
      </c>
      <c r="P57" s="8">
        <v>0.2</v>
      </c>
      <c r="Q57" s="8" t="s">
        <v>43</v>
      </c>
      <c r="R57" s="11"/>
      <c r="AI57" s="2"/>
      <c r="AQ57" s="2"/>
    </row>
    <row r="58" spans="2:43" x14ac:dyDescent="0.2">
      <c r="B58" s="8">
        <v>9</v>
      </c>
      <c r="C58" s="8">
        <v>700</v>
      </c>
      <c r="D58" s="8">
        <v>0.4563642</v>
      </c>
      <c r="E58" s="8">
        <v>0.65480950000000004</v>
      </c>
      <c r="F58" s="8">
        <v>0.35071429999999998</v>
      </c>
      <c r="G58" s="8">
        <v>0.44284099999999998</v>
      </c>
      <c r="H58" s="8">
        <v>0.1092441</v>
      </c>
      <c r="I58" s="8">
        <v>0.26678990000000002</v>
      </c>
      <c r="J58" s="8">
        <v>0.18253633999999999</v>
      </c>
      <c r="K58" s="8">
        <v>0.14555112000000001</v>
      </c>
      <c r="L58" s="3"/>
      <c r="M58" s="8">
        <v>0.35206660000000001</v>
      </c>
      <c r="N58" s="8">
        <v>0.25</v>
      </c>
      <c r="O58" s="8">
        <v>0.14285709999999999</v>
      </c>
      <c r="P58" s="8">
        <v>0.18181820000000001</v>
      </c>
      <c r="Q58" s="8" t="s">
        <v>45</v>
      </c>
      <c r="R58" s="11"/>
      <c r="V58" s="2"/>
      <c r="AI58" s="2"/>
      <c r="AQ58" s="2"/>
    </row>
    <row r="59" spans="2:43" x14ac:dyDescent="0.2">
      <c r="B59" s="8">
        <v>9</v>
      </c>
      <c r="C59" s="8">
        <v>900</v>
      </c>
      <c r="D59" s="8">
        <v>0.45746340000000002</v>
      </c>
      <c r="E59" s="8">
        <v>0.64606350000000001</v>
      </c>
      <c r="F59" s="8">
        <v>0.34</v>
      </c>
      <c r="G59" s="8">
        <v>0.43465890000000001</v>
      </c>
      <c r="H59" s="8">
        <v>0.115366</v>
      </c>
      <c r="I59" s="8">
        <v>0.26265949999999999</v>
      </c>
      <c r="J59" s="8">
        <v>0.17469604</v>
      </c>
      <c r="K59" s="8">
        <v>0.14328616999999999</v>
      </c>
      <c r="L59" s="3"/>
      <c r="M59" s="8">
        <v>0.39306560000000001</v>
      </c>
      <c r="N59" s="8">
        <v>0.6</v>
      </c>
      <c r="O59" s="8">
        <v>0.375</v>
      </c>
      <c r="P59" s="8">
        <v>0.46153850000000002</v>
      </c>
      <c r="Q59" s="8" t="s">
        <v>47</v>
      </c>
      <c r="R59" s="11"/>
      <c r="S59" s="10"/>
      <c r="V59" s="2"/>
      <c r="AI59" s="2"/>
      <c r="AQ59" s="2"/>
    </row>
    <row r="60" spans="2:43" x14ac:dyDescent="0.2">
      <c r="B60" s="8">
        <v>9</v>
      </c>
      <c r="C60" s="8">
        <v>1100</v>
      </c>
      <c r="D60" s="8">
        <v>0.45576470000000002</v>
      </c>
      <c r="E60" s="8">
        <v>0.62858729999999996</v>
      </c>
      <c r="F60" s="8">
        <v>0.34</v>
      </c>
      <c r="G60" s="8">
        <v>0.42907250000000002</v>
      </c>
      <c r="H60" s="8">
        <v>0.12033271</v>
      </c>
      <c r="I60" s="8">
        <v>0.26631070000000001</v>
      </c>
      <c r="J60" s="8">
        <v>0.1806045</v>
      </c>
      <c r="K60" s="8">
        <v>0.14175189999999999</v>
      </c>
      <c r="L60" s="3"/>
      <c r="M60" s="8">
        <v>0.48788769999999998</v>
      </c>
      <c r="N60" s="8">
        <v>0.66666669999999995</v>
      </c>
      <c r="O60" s="8">
        <v>0.57142859999999995</v>
      </c>
      <c r="P60" s="8">
        <v>0.61538459999999995</v>
      </c>
      <c r="Q60" s="8" t="s">
        <v>61</v>
      </c>
      <c r="R60" s="11"/>
      <c r="S60" s="10"/>
      <c r="V60" s="2"/>
      <c r="AI60" s="2"/>
      <c r="AQ60" s="2"/>
    </row>
    <row r="61" spans="2:43" x14ac:dyDescent="0.2">
      <c r="B61" s="8">
        <v>9</v>
      </c>
      <c r="C61" s="8">
        <v>1300</v>
      </c>
      <c r="D61" s="8">
        <v>0.45494770000000001</v>
      </c>
      <c r="E61" s="8">
        <v>0.64180950000000003</v>
      </c>
      <c r="F61" s="8">
        <v>0.34142860000000003</v>
      </c>
      <c r="G61" s="8">
        <v>0.43046459999999998</v>
      </c>
      <c r="H61" s="8">
        <v>0.11226008</v>
      </c>
      <c r="I61" s="8">
        <v>0.26739210000000002</v>
      </c>
      <c r="J61" s="8">
        <v>0.1868128</v>
      </c>
      <c r="K61" s="8">
        <v>0.14622544000000001</v>
      </c>
      <c r="L61" s="3"/>
      <c r="M61" s="8">
        <v>0.65020029999999995</v>
      </c>
      <c r="N61" s="8">
        <v>1</v>
      </c>
      <c r="O61" s="8">
        <v>0.375</v>
      </c>
      <c r="P61" s="8">
        <v>0.54545449999999995</v>
      </c>
      <c r="Q61" s="8" t="s">
        <v>48</v>
      </c>
      <c r="R61" s="11"/>
      <c r="S61" s="10"/>
      <c r="T61" s="10"/>
      <c r="U61" s="10"/>
      <c r="V61" s="3"/>
      <c r="AQ61" s="2"/>
    </row>
    <row r="62" spans="2:43" x14ac:dyDescent="0.2">
      <c r="B62" s="8">
        <v>10</v>
      </c>
      <c r="C62" s="8">
        <v>100</v>
      </c>
      <c r="D62" s="8">
        <v>0.42869930000000001</v>
      </c>
      <c r="E62" s="8">
        <v>0.55851799999999996</v>
      </c>
      <c r="F62" s="8">
        <v>0.35214289999999998</v>
      </c>
      <c r="G62" s="8">
        <v>0.42325960000000001</v>
      </c>
      <c r="H62" s="8">
        <v>0.10008727000000001</v>
      </c>
      <c r="I62" s="8">
        <v>0.23741090000000001</v>
      </c>
      <c r="J62" s="8">
        <v>0.19941719999999999</v>
      </c>
      <c r="K62" s="8">
        <v>0.14817156000000001</v>
      </c>
      <c r="L62" s="3"/>
      <c r="M62" s="8">
        <v>0.38257619999999998</v>
      </c>
      <c r="N62" s="8">
        <v>1</v>
      </c>
      <c r="O62" s="8">
        <v>0.25</v>
      </c>
      <c r="P62" s="8">
        <v>0.4</v>
      </c>
      <c r="Q62" s="8" t="s">
        <v>39</v>
      </c>
      <c r="R62" s="11"/>
      <c r="S62" s="10"/>
      <c r="T62" s="10"/>
      <c r="U62" s="10"/>
      <c r="V62" s="3"/>
      <c r="AQ62" s="2"/>
    </row>
    <row r="63" spans="2:43" x14ac:dyDescent="0.2">
      <c r="B63" s="8">
        <v>10</v>
      </c>
      <c r="C63" s="8">
        <v>300</v>
      </c>
      <c r="D63" s="8">
        <v>0.44771230000000001</v>
      </c>
      <c r="E63" s="8">
        <v>0.63166670000000003</v>
      </c>
      <c r="F63" s="8">
        <v>0.35071429999999998</v>
      </c>
      <c r="G63" s="8">
        <v>0.44046639999999998</v>
      </c>
      <c r="H63" s="8">
        <v>0.11655753000000001</v>
      </c>
      <c r="I63" s="8">
        <v>0.27138240000000002</v>
      </c>
      <c r="J63" s="8">
        <v>0.17781685999999999</v>
      </c>
      <c r="K63" s="8">
        <v>0.15851187</v>
      </c>
      <c r="L63" s="3"/>
      <c r="M63" s="8">
        <v>0.23976900000000001</v>
      </c>
      <c r="N63" s="8">
        <v>0</v>
      </c>
      <c r="O63" s="8">
        <v>0</v>
      </c>
      <c r="P63" s="8" t="s">
        <v>113</v>
      </c>
      <c r="Q63" s="8" t="s">
        <v>41</v>
      </c>
      <c r="R63" s="11"/>
      <c r="S63" s="10"/>
      <c r="T63" s="10"/>
      <c r="U63" s="10"/>
      <c r="V63" s="3"/>
      <c r="AQ63" s="2"/>
    </row>
    <row r="64" spans="2:43" x14ac:dyDescent="0.2">
      <c r="B64" s="8">
        <v>10</v>
      </c>
      <c r="C64" s="8">
        <v>500</v>
      </c>
      <c r="D64" s="8">
        <v>0.44648789999999999</v>
      </c>
      <c r="E64" s="8">
        <v>0.64006350000000001</v>
      </c>
      <c r="F64" s="8">
        <v>0.34571429999999997</v>
      </c>
      <c r="G64" s="8">
        <v>0.44091209999999997</v>
      </c>
      <c r="H64" s="8">
        <v>0.10686223</v>
      </c>
      <c r="I64" s="8">
        <v>0.28260210000000002</v>
      </c>
      <c r="J64" s="8">
        <v>0.17404074</v>
      </c>
      <c r="K64" s="8">
        <v>0.14835223</v>
      </c>
      <c r="L64" s="3"/>
      <c r="M64" s="8">
        <v>0.40992499999999998</v>
      </c>
      <c r="N64" s="8">
        <v>0.4</v>
      </c>
      <c r="O64" s="8">
        <v>0.28571429999999998</v>
      </c>
      <c r="P64" s="8">
        <v>0.3333333</v>
      </c>
      <c r="Q64" s="8" t="s">
        <v>50</v>
      </c>
      <c r="R64" s="11"/>
      <c r="S64" s="5"/>
      <c r="T64" s="15"/>
      <c r="U64" s="14"/>
      <c r="V64" s="3"/>
      <c r="AQ64" s="2"/>
    </row>
    <row r="65" spans="2:43" x14ac:dyDescent="0.2">
      <c r="B65" s="8">
        <v>10</v>
      </c>
      <c r="C65" s="8">
        <v>700</v>
      </c>
      <c r="D65" s="8">
        <v>0.44916850000000003</v>
      </c>
      <c r="E65" s="8">
        <v>0.65828569999999997</v>
      </c>
      <c r="F65" s="8">
        <v>0.35714289999999999</v>
      </c>
      <c r="G65" s="8">
        <v>0.45047470000000001</v>
      </c>
      <c r="H65" s="8">
        <v>0.11439164</v>
      </c>
      <c r="I65" s="8">
        <v>0.27406920000000001</v>
      </c>
      <c r="J65" s="8">
        <v>0.18500322</v>
      </c>
      <c r="K65" s="8">
        <v>0.15032556999999999</v>
      </c>
      <c r="L65" s="3"/>
      <c r="M65" s="8">
        <v>0.32535069999999999</v>
      </c>
      <c r="N65" s="8">
        <v>0.66666669999999995</v>
      </c>
      <c r="O65" s="8">
        <v>0.28571429999999998</v>
      </c>
      <c r="P65" s="8">
        <v>0.4</v>
      </c>
      <c r="Q65" s="8" t="s">
        <v>59</v>
      </c>
      <c r="R65" s="11"/>
      <c r="S65" s="5"/>
      <c r="T65" s="5"/>
      <c r="U65" s="5"/>
      <c r="V65" s="3"/>
      <c r="AQ65" s="2"/>
    </row>
    <row r="66" spans="2:43" x14ac:dyDescent="0.2">
      <c r="B66" s="8">
        <v>10</v>
      </c>
      <c r="C66" s="8">
        <v>900</v>
      </c>
      <c r="D66" s="8">
        <v>0.45288099999999998</v>
      </c>
      <c r="E66" s="8">
        <v>0.64873020000000003</v>
      </c>
      <c r="F66" s="8">
        <v>0.35642859999999998</v>
      </c>
      <c r="G66" s="8">
        <v>0.44629930000000001</v>
      </c>
      <c r="H66" s="8">
        <v>0.10285326</v>
      </c>
      <c r="I66" s="8">
        <v>0.26688329999999999</v>
      </c>
      <c r="J66" s="8">
        <v>0.18725040000000001</v>
      </c>
      <c r="K66" s="8">
        <v>0.15064219000000001</v>
      </c>
      <c r="L66" s="3"/>
      <c r="M66" s="8">
        <v>0.40850930000000002</v>
      </c>
      <c r="N66" s="8">
        <v>0.5</v>
      </c>
      <c r="O66" s="8">
        <v>0.57142859999999995</v>
      </c>
      <c r="P66" s="8">
        <v>0.53333330000000001</v>
      </c>
      <c r="Q66" s="8" t="s">
        <v>62</v>
      </c>
      <c r="R66" s="11"/>
      <c r="V66" s="3"/>
      <c r="AQ66" s="2"/>
    </row>
    <row r="67" spans="2:43" x14ac:dyDescent="0.2">
      <c r="B67" s="8">
        <v>10</v>
      </c>
      <c r="C67" s="8">
        <v>1100</v>
      </c>
      <c r="D67" s="8">
        <v>0.4526676</v>
      </c>
      <c r="E67" s="8">
        <v>0.62273020000000001</v>
      </c>
      <c r="F67" s="8">
        <v>0.34</v>
      </c>
      <c r="G67" s="8">
        <v>0.42776690000000001</v>
      </c>
      <c r="H67" s="8">
        <v>0.12728679000000001</v>
      </c>
      <c r="I67" s="8">
        <v>0.27576079999999997</v>
      </c>
      <c r="J67" s="8">
        <v>0.17838382999999999</v>
      </c>
      <c r="K67" s="8">
        <v>0.14726558000000001</v>
      </c>
      <c r="L67" s="3"/>
      <c r="M67" s="8">
        <v>0.72011440000000004</v>
      </c>
      <c r="N67" s="8">
        <v>0.6</v>
      </c>
      <c r="O67" s="8">
        <v>0.85714290000000004</v>
      </c>
      <c r="P67" s="8">
        <v>0.70588240000000002</v>
      </c>
      <c r="Q67" s="8" t="s">
        <v>46</v>
      </c>
      <c r="R67" s="11"/>
      <c r="V67" s="3"/>
      <c r="AQ67" s="2"/>
    </row>
    <row r="68" spans="2:43" x14ac:dyDescent="0.2">
      <c r="B68" s="8">
        <v>10</v>
      </c>
      <c r="C68" s="8">
        <v>1300</v>
      </c>
      <c r="D68" s="8">
        <v>0.4517274</v>
      </c>
      <c r="E68" s="8">
        <v>0.64073020000000003</v>
      </c>
      <c r="F68" s="8">
        <v>0.35071429999999998</v>
      </c>
      <c r="G68" s="8">
        <v>0.44297340000000002</v>
      </c>
      <c r="H68" s="8">
        <v>0.12377341</v>
      </c>
      <c r="I68" s="8">
        <v>0.2809623</v>
      </c>
      <c r="J68" s="8">
        <v>0.18004452000000001</v>
      </c>
      <c r="K68" s="8">
        <v>0.14570964</v>
      </c>
      <c r="L68" s="3"/>
      <c r="M68" s="8">
        <v>0.47595090000000001</v>
      </c>
      <c r="N68" s="8">
        <v>1</v>
      </c>
      <c r="O68" s="8">
        <v>0.14285709999999999</v>
      </c>
      <c r="P68" s="8">
        <v>0.25</v>
      </c>
      <c r="Q68" s="8" t="s">
        <v>40</v>
      </c>
      <c r="R68" s="11"/>
      <c r="V68" s="3"/>
      <c r="AQ68" s="2"/>
    </row>
    <row r="69" spans="2:43" x14ac:dyDescent="0.2"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8">
        <v>0.42916979999999999</v>
      </c>
      <c r="N69" s="8">
        <v>1</v>
      </c>
      <c r="O69" s="8">
        <v>0.42857139999999999</v>
      </c>
      <c r="P69" s="8">
        <v>0.6</v>
      </c>
      <c r="Q69" s="8" t="s">
        <v>60</v>
      </c>
      <c r="R69" s="11"/>
      <c r="V69" s="3"/>
      <c r="AQ69" s="2"/>
    </row>
    <row r="70" spans="2:43" x14ac:dyDescent="0.2"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8">
        <v>0.44198280000000001</v>
      </c>
      <c r="N70" s="8">
        <v>0.5</v>
      </c>
      <c r="O70" s="8">
        <v>0.28571429999999998</v>
      </c>
      <c r="P70" s="8">
        <v>0.36363640000000003</v>
      </c>
      <c r="Q70" s="8" t="s">
        <v>49</v>
      </c>
      <c r="R70" s="11"/>
      <c r="V70" s="3"/>
      <c r="AQ70" s="2"/>
    </row>
    <row r="71" spans="2:43" x14ac:dyDescent="0.2"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AQ71" s="2"/>
    </row>
    <row r="72" spans="2:43" x14ac:dyDescent="0.2"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2"/>
      <c r="N72" s="8"/>
      <c r="O72" s="8"/>
      <c r="P72" s="8"/>
      <c r="Q72" s="8"/>
      <c r="R72" s="2"/>
      <c r="AQ72" s="2"/>
    </row>
    <row r="73" spans="2:43" x14ac:dyDescent="0.2"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2"/>
      <c r="N73" s="8"/>
      <c r="O73" s="8"/>
      <c r="P73" s="8"/>
      <c r="Q73" s="8"/>
      <c r="R73" s="2"/>
      <c r="AQ73" s="2"/>
    </row>
    <row r="74" spans="2:43" x14ac:dyDescent="0.2">
      <c r="H74" s="3"/>
      <c r="M74" s="2"/>
      <c r="N74" s="8"/>
      <c r="O74" s="8"/>
      <c r="P74" s="8"/>
      <c r="Q74" s="8"/>
      <c r="R74" s="2"/>
    </row>
    <row r="75" spans="2:43" x14ac:dyDescent="0.2">
      <c r="M75" s="2"/>
      <c r="N75" s="8"/>
      <c r="O75" s="8"/>
      <c r="P75" s="8"/>
      <c r="Q75" s="8"/>
      <c r="R75" s="2"/>
    </row>
    <row r="76" spans="2:43" x14ac:dyDescent="0.2">
      <c r="M76" s="2"/>
      <c r="N76" s="8"/>
      <c r="O76" s="8"/>
      <c r="P76" s="8"/>
      <c r="Q76" s="8"/>
      <c r="R76" s="2"/>
    </row>
    <row r="77" spans="2:43" x14ac:dyDescent="0.2">
      <c r="M77" s="2"/>
      <c r="N77" s="8"/>
      <c r="O77" s="8"/>
      <c r="P77" s="8"/>
      <c r="Q77" s="8"/>
      <c r="R77" s="2"/>
    </row>
    <row r="78" spans="2:43" x14ac:dyDescent="0.2">
      <c r="M78" s="2"/>
      <c r="N78" s="8"/>
      <c r="O78" s="8"/>
      <c r="P78" s="8"/>
      <c r="Q78" s="8"/>
      <c r="R78" s="2"/>
    </row>
    <row r="79" spans="2:43" x14ac:dyDescent="0.2">
      <c r="M79" s="2"/>
      <c r="N79" s="8"/>
      <c r="O79" s="8"/>
      <c r="P79" s="8"/>
      <c r="Q79" s="8"/>
      <c r="R79" s="2"/>
    </row>
    <row r="80" spans="2:43" x14ac:dyDescent="0.2">
      <c r="M80" s="2"/>
      <c r="N80" s="8"/>
      <c r="O80" s="8"/>
      <c r="P80" s="8"/>
      <c r="Q80" s="8"/>
      <c r="R80" s="2"/>
    </row>
    <row r="81" spans="13:18" x14ac:dyDescent="0.2">
      <c r="M81" s="2"/>
      <c r="N81" s="8"/>
      <c r="O81" s="8"/>
      <c r="P81" s="8"/>
      <c r="Q81" s="8"/>
      <c r="R81" s="2"/>
    </row>
    <row r="82" spans="13:18" x14ac:dyDescent="0.2">
      <c r="M82" s="2"/>
      <c r="N82" s="8"/>
      <c r="O82" s="8"/>
      <c r="P82" s="8"/>
      <c r="Q82" s="8"/>
      <c r="R82" s="2"/>
    </row>
    <row r="83" spans="13:18" x14ac:dyDescent="0.2">
      <c r="M83" s="2"/>
      <c r="N83" s="8"/>
      <c r="O83" s="8"/>
      <c r="P83" s="8"/>
      <c r="Q83" s="8"/>
      <c r="R83" s="2"/>
    </row>
    <row r="84" spans="13:18" x14ac:dyDescent="0.2">
      <c r="M84" s="2"/>
      <c r="N84" s="8"/>
      <c r="O84" s="8"/>
      <c r="P84" s="8"/>
      <c r="Q84" s="8"/>
      <c r="R84" s="2"/>
    </row>
    <row r="85" spans="13:18" x14ac:dyDescent="0.2">
      <c r="M85" s="2"/>
      <c r="N85" s="8"/>
      <c r="O85" s="8"/>
      <c r="P85" s="8"/>
      <c r="Q85" s="8"/>
      <c r="R85" s="2"/>
    </row>
    <row r="86" spans="13:18" x14ac:dyDescent="0.2">
      <c r="R86" s="2"/>
    </row>
    <row r="87" spans="13:18" x14ac:dyDescent="0.2">
      <c r="R87" s="2"/>
    </row>
    <row r="88" spans="13:18" x14ac:dyDescent="0.2">
      <c r="R88" s="2"/>
    </row>
    <row r="89" spans="13:18" x14ac:dyDescent="0.2">
      <c r="R89" s="2"/>
    </row>
    <row r="90" spans="13:18" x14ac:dyDescent="0.2">
      <c r="R90" s="2"/>
    </row>
    <row r="91" spans="13:18" x14ac:dyDescent="0.2">
      <c r="R91" s="2"/>
    </row>
    <row r="92" spans="13:18" x14ac:dyDescent="0.2">
      <c r="R92" s="2"/>
    </row>
    <row r="93" spans="13:18" x14ac:dyDescent="0.2">
      <c r="R93" s="2"/>
    </row>
    <row r="94" spans="13:18" x14ac:dyDescent="0.2">
      <c r="R94" s="2"/>
    </row>
    <row r="95" spans="13:18" x14ac:dyDescent="0.2">
      <c r="R95" s="2"/>
    </row>
    <row r="96" spans="13:18" x14ac:dyDescent="0.2">
      <c r="R96" s="2"/>
    </row>
    <row r="97" spans="18:18" x14ac:dyDescent="0.2">
      <c r="R97" s="2"/>
    </row>
    <row r="98" spans="18:18" x14ac:dyDescent="0.2">
      <c r="R98" s="2"/>
    </row>
    <row r="99" spans="18:18" x14ac:dyDescent="0.2">
      <c r="R99" s="2"/>
    </row>
    <row r="100" spans="18:18" x14ac:dyDescent="0.2">
      <c r="R100" s="2"/>
    </row>
    <row r="101" spans="18:18" x14ac:dyDescent="0.2">
      <c r="R101" s="2"/>
    </row>
    <row r="102" spans="18:18" x14ac:dyDescent="0.2">
      <c r="R102" s="2"/>
    </row>
    <row r="103" spans="18:18" x14ac:dyDescent="0.2">
      <c r="R103" s="2"/>
    </row>
    <row r="104" spans="18:18" x14ac:dyDescent="0.2">
      <c r="R104" s="2"/>
    </row>
  </sheetData>
  <mergeCells count="11">
    <mergeCell ref="S4:T4"/>
    <mergeCell ref="M9:N9"/>
    <mergeCell ref="B2:U2"/>
    <mergeCell ref="M44:Q44"/>
    <mergeCell ref="M19:O19"/>
    <mergeCell ref="M24:N24"/>
    <mergeCell ref="Q29:R29"/>
    <mergeCell ref="B4:K4"/>
    <mergeCell ref="M4:O4"/>
    <mergeCell ref="O39:O40"/>
    <mergeCell ref="M34:O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2197-CF4C-914B-AA95-C62BE9C3CACC}">
  <dimension ref="B1:Z134"/>
  <sheetViews>
    <sheetView topLeftCell="K3" zoomScaleNormal="100" workbookViewId="0">
      <selection activeCell="T25" sqref="T25"/>
    </sheetView>
  </sheetViews>
  <sheetFormatPr baseColWidth="10" defaultColWidth="11" defaultRowHeight="16" x14ac:dyDescent="0.2"/>
  <cols>
    <col min="1" max="1" width="4.5" customWidth="1"/>
    <col min="2" max="2" width="13.83203125" customWidth="1"/>
    <col min="3" max="4" width="12.5" customWidth="1"/>
    <col min="5" max="5" width="13" customWidth="1"/>
    <col min="6" max="6" width="14.33203125" bestFit="1" customWidth="1"/>
    <col min="7" max="7" width="7.1640625" bestFit="1" customWidth="1"/>
    <col min="8" max="8" width="15.83203125" bestFit="1" customWidth="1"/>
    <col min="9" max="9" width="18" bestFit="1" customWidth="1"/>
    <col min="10" max="10" width="15" bestFit="1" customWidth="1"/>
    <col min="11" max="11" width="17.5" bestFit="1" customWidth="1"/>
    <col min="12" max="12" width="3.6640625" customWidth="1"/>
    <col min="13" max="13" width="28" bestFit="1" customWidth="1"/>
    <col min="14" max="14" width="16.83203125" bestFit="1" customWidth="1"/>
    <col min="15" max="15" width="24.5" customWidth="1"/>
    <col min="16" max="16" width="3.1640625" customWidth="1"/>
    <col min="17" max="17" width="21.6640625" bestFit="1" customWidth="1"/>
    <col min="18" max="18" width="12.83203125" bestFit="1" customWidth="1"/>
    <col min="19" max="19" width="19.6640625" customWidth="1"/>
    <col min="20" max="20" width="10.1640625" bestFit="1" customWidth="1"/>
    <col min="21" max="21" width="28.33203125" bestFit="1" customWidth="1"/>
    <col min="22" max="22" width="15" bestFit="1" customWidth="1"/>
    <col min="24" max="24" width="22.5" customWidth="1"/>
  </cols>
  <sheetData>
    <row r="1" spans="2:26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2:26" x14ac:dyDescent="0.2">
      <c r="B2" s="55" t="s">
        <v>152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6"/>
    </row>
    <row r="3" spans="2:26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5"/>
      <c r="M3" s="6"/>
      <c r="N3" s="6"/>
      <c r="O3" s="6"/>
      <c r="P3" s="6"/>
      <c r="Q3" s="5"/>
      <c r="R3" s="5"/>
      <c r="S3" s="5"/>
      <c r="T3" s="5"/>
      <c r="U3" s="5"/>
    </row>
    <row r="4" spans="2:26" x14ac:dyDescent="0.2">
      <c r="B4" s="49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5"/>
      <c r="M4" s="49" t="s">
        <v>36</v>
      </c>
      <c r="N4" s="49"/>
      <c r="O4" s="49"/>
      <c r="P4" s="6"/>
      <c r="Q4" s="23" t="s">
        <v>30</v>
      </c>
      <c r="R4" s="23" t="s">
        <v>34</v>
      </c>
      <c r="S4" s="51" t="s">
        <v>173</v>
      </c>
      <c r="T4" s="51"/>
      <c r="U4" s="13" t="s">
        <v>174</v>
      </c>
      <c r="Y4" s="57"/>
    </row>
    <row r="5" spans="2:26" x14ac:dyDescent="0.2">
      <c r="B5" s="9" t="s">
        <v>142</v>
      </c>
      <c r="C5" s="9" t="s">
        <v>141</v>
      </c>
      <c r="D5" s="9" t="s">
        <v>140</v>
      </c>
      <c r="E5" s="9" t="s">
        <v>5</v>
      </c>
      <c r="F5" s="9" t="s">
        <v>6</v>
      </c>
      <c r="G5" s="9" t="s">
        <v>7</v>
      </c>
      <c r="H5" s="9" t="s">
        <v>131</v>
      </c>
      <c r="I5" s="9" t="s">
        <v>66</v>
      </c>
      <c r="J5" s="9" t="s">
        <v>67</v>
      </c>
      <c r="K5" s="9" t="s">
        <v>68</v>
      </c>
      <c r="L5" s="5"/>
      <c r="M5" s="9" t="s">
        <v>145</v>
      </c>
      <c r="N5" s="9" t="s">
        <v>10</v>
      </c>
      <c r="O5" s="9" t="s">
        <v>11</v>
      </c>
      <c r="P5" s="5"/>
      <c r="Q5" s="5"/>
      <c r="R5" s="5"/>
      <c r="S5" s="17" t="s">
        <v>31</v>
      </c>
      <c r="T5" s="17" t="s">
        <v>32</v>
      </c>
      <c r="U5" s="17"/>
      <c r="W5" s="2"/>
      <c r="X5" s="8"/>
      <c r="Y5" s="57"/>
    </row>
    <row r="6" spans="2:26" x14ac:dyDescent="0.2">
      <c r="B6" s="8">
        <v>2</v>
      </c>
      <c r="C6" s="8">
        <v>100</v>
      </c>
      <c r="D6" s="8">
        <v>0.42196850000000002</v>
      </c>
      <c r="E6" s="8">
        <v>0.89215690000000003</v>
      </c>
      <c r="F6" s="8">
        <v>0.13928570000000001</v>
      </c>
      <c r="G6" s="8">
        <v>0.32679740000000002</v>
      </c>
      <c r="H6" s="8">
        <v>9.479071E-2</v>
      </c>
      <c r="I6" s="8">
        <v>0.2036232</v>
      </c>
      <c r="J6" s="8">
        <v>0.115152</v>
      </c>
      <c r="K6" s="8">
        <v>0.10523041</v>
      </c>
      <c r="L6" s="5"/>
      <c r="M6" s="9" t="s">
        <v>8</v>
      </c>
      <c r="N6" s="10">
        <v>36</v>
      </c>
      <c r="O6" s="10">
        <v>0</v>
      </c>
      <c r="P6" s="5"/>
      <c r="Q6" s="27" t="s">
        <v>29</v>
      </c>
      <c r="R6" s="5"/>
      <c r="S6" s="28">
        <v>83.853211000000002</v>
      </c>
      <c r="T6" s="28">
        <v>83.853211000000002</v>
      </c>
      <c r="U6" s="29">
        <v>1.4815693E-3</v>
      </c>
      <c r="V6" s="8"/>
      <c r="W6" s="2"/>
      <c r="X6" s="8"/>
      <c r="Y6" s="2"/>
      <c r="Z6" s="2"/>
    </row>
    <row r="7" spans="2:26" x14ac:dyDescent="0.2">
      <c r="B7" s="8">
        <v>2</v>
      </c>
      <c r="C7" s="8">
        <v>300</v>
      </c>
      <c r="D7" s="8">
        <v>0.43912010000000001</v>
      </c>
      <c r="E7" s="8">
        <v>0.91666669999999995</v>
      </c>
      <c r="F7" s="8">
        <v>0.13928570000000001</v>
      </c>
      <c r="G7" s="8">
        <v>0.31450620000000001</v>
      </c>
      <c r="H7" s="8">
        <v>9.3095510000000006E-2</v>
      </c>
      <c r="I7" s="8">
        <v>0.1917412</v>
      </c>
      <c r="J7" s="8">
        <v>0.1056443</v>
      </c>
      <c r="K7" s="8">
        <v>9.7688220000000006E-2</v>
      </c>
      <c r="L7" s="5"/>
      <c r="M7" s="9" t="s">
        <v>9</v>
      </c>
      <c r="N7" s="10">
        <v>0</v>
      </c>
      <c r="O7" s="10">
        <v>149</v>
      </c>
      <c r="P7" s="6"/>
      <c r="Q7" s="27" t="s">
        <v>78</v>
      </c>
      <c r="R7" s="5"/>
      <c r="S7" s="28">
        <v>42.614678900000001</v>
      </c>
      <c r="T7" s="28">
        <v>42.614678900000001</v>
      </c>
      <c r="U7" s="29">
        <v>0</v>
      </c>
      <c r="V7" s="8"/>
      <c r="W7" s="2"/>
      <c r="X7" s="8"/>
      <c r="Y7" s="3"/>
      <c r="Z7" s="3"/>
    </row>
    <row r="8" spans="2:26" x14ac:dyDescent="0.2">
      <c r="B8" s="8">
        <v>2</v>
      </c>
      <c r="C8" s="8">
        <v>500</v>
      </c>
      <c r="D8" s="8">
        <v>0.43950879999999998</v>
      </c>
      <c r="E8" s="8">
        <v>0.9210526</v>
      </c>
      <c r="F8" s="8">
        <v>0.13500000000000001</v>
      </c>
      <c r="G8" s="8">
        <v>0.30895060000000002</v>
      </c>
      <c r="H8" s="8">
        <v>9.8182140000000001E-2</v>
      </c>
      <c r="I8" s="8">
        <v>0.25072990000000001</v>
      </c>
      <c r="J8" s="8">
        <v>0.1050237</v>
      </c>
      <c r="K8" s="8">
        <v>9.9511130000000003E-2</v>
      </c>
      <c r="L8" s="5"/>
      <c r="M8" s="5"/>
      <c r="N8" s="5"/>
      <c r="O8" s="5"/>
      <c r="P8" s="5"/>
      <c r="Q8" s="27" t="s">
        <v>79</v>
      </c>
      <c r="R8" s="5"/>
      <c r="S8" s="28">
        <v>51.605504600000003</v>
      </c>
      <c r="T8" s="28">
        <v>51.605504600000003</v>
      </c>
      <c r="U8" s="29">
        <v>6.4032459E-3</v>
      </c>
      <c r="V8" s="8"/>
      <c r="W8" s="2"/>
      <c r="X8" s="8"/>
      <c r="Y8" s="3"/>
    </row>
    <row r="9" spans="2:26" x14ac:dyDescent="0.2">
      <c r="B9" s="8">
        <v>2</v>
      </c>
      <c r="C9" s="8">
        <v>700</v>
      </c>
      <c r="D9" s="8">
        <v>0.44053759999999997</v>
      </c>
      <c r="E9" s="8">
        <v>0.83333330000000005</v>
      </c>
      <c r="F9" s="8">
        <v>0.14000000000000001</v>
      </c>
      <c r="G9" s="8">
        <v>0.31495509999999999</v>
      </c>
      <c r="H9" s="8">
        <v>9.2273850000000004E-2</v>
      </c>
      <c r="I9" s="8">
        <v>0.32891809999999999</v>
      </c>
      <c r="J9" s="8">
        <v>0.10747470000000001</v>
      </c>
      <c r="K9" s="8">
        <v>9.9085969999999995E-2</v>
      </c>
      <c r="L9" s="5"/>
      <c r="M9" s="51" t="s">
        <v>70</v>
      </c>
      <c r="N9" s="51"/>
      <c r="O9" s="5" t="s">
        <v>37</v>
      </c>
      <c r="P9" s="5"/>
      <c r="Q9" s="27" t="s">
        <v>80</v>
      </c>
      <c r="R9" s="5"/>
      <c r="S9" s="28">
        <v>50.366972500000003</v>
      </c>
      <c r="T9" s="28">
        <v>50.366972500000003</v>
      </c>
      <c r="U9" s="29">
        <v>0</v>
      </c>
      <c r="V9" s="8"/>
      <c r="W9" s="2"/>
      <c r="X9" s="2"/>
      <c r="Y9" s="8"/>
      <c r="Z9" s="8"/>
    </row>
    <row r="10" spans="2:26" x14ac:dyDescent="0.2">
      <c r="B10" s="8">
        <v>2</v>
      </c>
      <c r="C10" s="8">
        <v>900</v>
      </c>
      <c r="D10" s="8">
        <v>0.45019759999999998</v>
      </c>
      <c r="E10" s="8">
        <v>0.9736842</v>
      </c>
      <c r="F10" s="8">
        <v>0.15</v>
      </c>
      <c r="G10" s="8">
        <v>0.32309939999999998</v>
      </c>
      <c r="H10" s="8">
        <v>9.6959160000000003E-2</v>
      </c>
      <c r="I10" s="8">
        <v>0.1147079</v>
      </c>
      <c r="J10" s="8">
        <v>0.1055184</v>
      </c>
      <c r="K10" s="8">
        <v>9.8205139999999996E-2</v>
      </c>
      <c r="L10" s="5"/>
      <c r="M10" s="5" t="s">
        <v>22</v>
      </c>
      <c r="N10" s="5">
        <v>1</v>
      </c>
      <c r="O10" s="5"/>
      <c r="P10" s="5"/>
      <c r="Q10" s="27" t="s">
        <v>81</v>
      </c>
      <c r="R10" s="5"/>
      <c r="S10" s="28">
        <v>47.155963300000003</v>
      </c>
      <c r="T10" s="28">
        <v>47.155963300000003</v>
      </c>
      <c r="U10" s="29">
        <v>0</v>
      </c>
      <c r="V10" s="8"/>
      <c r="W10" s="2"/>
      <c r="X10" s="2"/>
      <c r="Y10" s="8"/>
      <c r="Z10" s="8"/>
    </row>
    <row r="11" spans="2:26" x14ac:dyDescent="0.2">
      <c r="B11" s="8">
        <v>2</v>
      </c>
      <c r="C11" s="8">
        <v>1100</v>
      </c>
      <c r="D11" s="8">
        <v>0.44508439999999999</v>
      </c>
      <c r="E11" s="8">
        <v>0.97222220000000004</v>
      </c>
      <c r="F11" s="8">
        <v>0.14499999999999999</v>
      </c>
      <c r="G11" s="8">
        <v>0.3283951</v>
      </c>
      <c r="H11" s="8">
        <v>9.0335550000000001E-2</v>
      </c>
      <c r="I11" s="8">
        <v>0.1178511</v>
      </c>
      <c r="J11" s="8">
        <v>0.1096337</v>
      </c>
      <c r="K11" s="8">
        <v>9.7850699999999999E-2</v>
      </c>
      <c r="L11" s="5"/>
      <c r="M11" s="5" t="s">
        <v>21</v>
      </c>
      <c r="N11" s="5">
        <v>1</v>
      </c>
      <c r="O11" s="5"/>
      <c r="P11" s="5"/>
      <c r="Q11" s="27" t="s">
        <v>82</v>
      </c>
      <c r="R11" s="5"/>
      <c r="S11" s="28">
        <v>19.541284399999999</v>
      </c>
      <c r="T11" s="28">
        <v>19.541284399999999</v>
      </c>
      <c r="U11" s="29">
        <v>0</v>
      </c>
      <c r="V11" s="8"/>
      <c r="W11" s="2"/>
      <c r="X11" s="2"/>
      <c r="Y11" s="8"/>
      <c r="Z11" s="8"/>
    </row>
    <row r="12" spans="2:26" x14ac:dyDescent="0.2">
      <c r="B12" s="8">
        <v>2</v>
      </c>
      <c r="C12" s="8">
        <v>1300</v>
      </c>
      <c r="D12" s="8">
        <v>0.44838099999999997</v>
      </c>
      <c r="E12" s="8">
        <v>0.8981481</v>
      </c>
      <c r="F12" s="8">
        <v>0.14000000000000001</v>
      </c>
      <c r="G12" s="8">
        <v>0.33137250000000001</v>
      </c>
      <c r="H12" s="8">
        <v>9.3118000000000006E-2</v>
      </c>
      <c r="I12" s="8">
        <v>0.26283329999999999</v>
      </c>
      <c r="J12" s="8">
        <v>0.1151151</v>
      </c>
      <c r="K12" s="8">
        <v>0.10049916</v>
      </c>
      <c r="L12" s="5"/>
      <c r="M12" s="5" t="s">
        <v>20</v>
      </c>
      <c r="N12" s="5">
        <v>1</v>
      </c>
      <c r="O12" s="5"/>
      <c r="P12" s="5"/>
      <c r="Q12" s="27" t="s">
        <v>83</v>
      </c>
      <c r="R12" s="5"/>
      <c r="S12" s="28">
        <v>31.330275199999999</v>
      </c>
      <c r="T12" s="28">
        <v>31.330275199999999</v>
      </c>
      <c r="U12" s="29">
        <v>0</v>
      </c>
      <c r="V12" s="8"/>
      <c r="W12" s="2"/>
      <c r="X12" s="2"/>
      <c r="Y12" s="8"/>
      <c r="Z12" s="8"/>
    </row>
    <row r="13" spans="2:26" x14ac:dyDescent="0.2">
      <c r="B13" s="8">
        <v>3</v>
      </c>
      <c r="C13" s="8">
        <v>100</v>
      </c>
      <c r="D13" s="8">
        <v>0.4129215</v>
      </c>
      <c r="E13" s="8">
        <v>0.93518520000000005</v>
      </c>
      <c r="F13" s="8">
        <v>0.15</v>
      </c>
      <c r="G13" s="8">
        <v>0.33316499999999999</v>
      </c>
      <c r="H13" s="8">
        <v>8.8821239999999996E-2</v>
      </c>
      <c r="I13" s="8">
        <v>0.1527406</v>
      </c>
      <c r="J13" s="8">
        <v>0.1132909</v>
      </c>
      <c r="K13" s="8">
        <v>9.7794629999999994E-2</v>
      </c>
      <c r="L13" s="5"/>
      <c r="M13" s="5" t="s">
        <v>19</v>
      </c>
      <c r="N13" s="5">
        <v>1</v>
      </c>
      <c r="O13" s="5"/>
      <c r="P13" s="5"/>
      <c r="Q13" s="27" t="s">
        <v>84</v>
      </c>
      <c r="R13" s="5"/>
      <c r="S13" s="28">
        <v>32.889908300000002</v>
      </c>
      <c r="T13" s="28">
        <v>32.889908300000002</v>
      </c>
      <c r="U13" s="58">
        <v>8.3596924999999999E-3</v>
      </c>
      <c r="V13" s="8"/>
      <c r="W13" s="2"/>
      <c r="X13" s="2"/>
      <c r="Y13" s="8"/>
      <c r="Z13" s="8"/>
    </row>
    <row r="14" spans="2:26" x14ac:dyDescent="0.2">
      <c r="B14" s="8">
        <v>3</v>
      </c>
      <c r="C14" s="8">
        <v>300</v>
      </c>
      <c r="D14" s="8">
        <v>0.42479820000000001</v>
      </c>
      <c r="E14" s="8">
        <v>0.88596490000000006</v>
      </c>
      <c r="F14" s="8">
        <v>0.1564286</v>
      </c>
      <c r="G14" s="8">
        <v>0.32660820000000002</v>
      </c>
      <c r="H14" s="8">
        <v>9.7200159999999994E-2</v>
      </c>
      <c r="I14" s="8">
        <v>0.20071349999999999</v>
      </c>
      <c r="J14" s="8">
        <v>0.1105942</v>
      </c>
      <c r="K14" s="8">
        <v>0.10231509</v>
      </c>
      <c r="L14" s="5"/>
      <c r="M14" s="5" t="s">
        <v>18</v>
      </c>
      <c r="N14" s="5">
        <v>1</v>
      </c>
      <c r="O14" s="5"/>
      <c r="P14" s="5"/>
      <c r="Q14" s="27" t="s">
        <v>85</v>
      </c>
      <c r="R14" s="5"/>
      <c r="S14" s="28">
        <v>28.669724800000001</v>
      </c>
      <c r="T14" s="28">
        <v>28.669724800000001</v>
      </c>
      <c r="U14" s="59">
        <v>0</v>
      </c>
      <c r="V14" s="8"/>
      <c r="W14" s="2"/>
      <c r="X14" s="2"/>
      <c r="Y14" s="8"/>
      <c r="Z14" s="8"/>
    </row>
    <row r="15" spans="2:26" x14ac:dyDescent="0.2">
      <c r="B15" s="8">
        <v>3</v>
      </c>
      <c r="C15" s="8">
        <v>500</v>
      </c>
      <c r="D15" s="8">
        <v>0.43637130000000002</v>
      </c>
      <c r="E15" s="8">
        <v>0.91666669999999995</v>
      </c>
      <c r="F15" s="8">
        <v>0.17785709999999999</v>
      </c>
      <c r="G15" s="8">
        <v>0.35219699999999998</v>
      </c>
      <c r="H15" s="8">
        <v>9.0095419999999996E-2</v>
      </c>
      <c r="I15" s="8">
        <v>0.17521919999999999</v>
      </c>
      <c r="J15" s="8">
        <v>0.1098952</v>
      </c>
      <c r="K15" s="8">
        <v>9.7881410000000002E-2</v>
      </c>
      <c r="L15" s="5"/>
      <c r="M15" s="5" t="s">
        <v>17</v>
      </c>
      <c r="N15" s="5">
        <v>1</v>
      </c>
      <c r="O15" s="5"/>
      <c r="P15" s="5"/>
      <c r="Q15" s="27" t="s">
        <v>86</v>
      </c>
      <c r="R15" s="5"/>
      <c r="S15" s="28">
        <v>27.935779799999999</v>
      </c>
      <c r="T15" s="28">
        <v>27.935779799999999</v>
      </c>
      <c r="U15" s="59">
        <v>7.6108260000000004E-4</v>
      </c>
      <c r="V15" s="8"/>
      <c r="W15" s="2"/>
      <c r="X15" s="2"/>
      <c r="Y15" s="8"/>
      <c r="Z15" s="8"/>
    </row>
    <row r="16" spans="2:26" x14ac:dyDescent="0.2">
      <c r="B16" s="8">
        <v>3</v>
      </c>
      <c r="C16" s="8">
        <v>700</v>
      </c>
      <c r="D16" s="8">
        <v>0.4243574</v>
      </c>
      <c r="E16" s="8">
        <v>0.88333329999999999</v>
      </c>
      <c r="F16" s="8">
        <v>0.17285710000000001</v>
      </c>
      <c r="G16" s="8">
        <v>0.3602339</v>
      </c>
      <c r="H16" s="8">
        <v>8.7923940000000006E-2</v>
      </c>
      <c r="I16" s="8">
        <v>0.26545780000000002</v>
      </c>
      <c r="J16" s="8">
        <v>0.1168381</v>
      </c>
      <c r="K16" s="8">
        <v>0.10026137</v>
      </c>
      <c r="L16" s="5"/>
      <c r="M16" s="5" t="s">
        <v>28</v>
      </c>
      <c r="N16" s="5">
        <v>1</v>
      </c>
      <c r="O16" s="5"/>
      <c r="P16" s="5"/>
      <c r="Q16" s="27" t="s">
        <v>87</v>
      </c>
      <c r="R16" s="5"/>
      <c r="S16" s="28">
        <v>18.669724800000001</v>
      </c>
      <c r="T16" s="28">
        <v>18.669724800000001</v>
      </c>
      <c r="U16" s="58">
        <v>7.4420574000000003E-3</v>
      </c>
      <c r="V16" s="8"/>
      <c r="W16" s="2"/>
      <c r="X16" s="2"/>
      <c r="Y16" s="8"/>
      <c r="Z16" s="8"/>
    </row>
    <row r="17" spans="2:26" x14ac:dyDescent="0.2">
      <c r="B17" s="8">
        <v>3</v>
      </c>
      <c r="C17" s="8">
        <v>900</v>
      </c>
      <c r="D17" s="8">
        <v>0.42745509999999998</v>
      </c>
      <c r="E17" s="8">
        <v>0.94166669999999997</v>
      </c>
      <c r="F17" s="8">
        <v>0.16714290000000001</v>
      </c>
      <c r="G17" s="8">
        <v>0.3345707</v>
      </c>
      <c r="H17" s="8">
        <v>8.3465520000000001E-2</v>
      </c>
      <c r="I17" s="8">
        <v>0.14584900000000001</v>
      </c>
      <c r="J17" s="8">
        <v>0.10687960000000001</v>
      </c>
      <c r="K17" s="8">
        <v>9.7830260000000002E-2</v>
      </c>
      <c r="L17" s="5"/>
      <c r="M17" s="5" t="s">
        <v>33</v>
      </c>
      <c r="N17" s="5">
        <v>1</v>
      </c>
      <c r="O17" s="5"/>
      <c r="P17" s="5"/>
      <c r="Q17" s="27" t="s">
        <v>88</v>
      </c>
      <c r="R17" s="5"/>
      <c r="S17" s="28">
        <v>19.770642200000001</v>
      </c>
      <c r="T17" s="28">
        <v>19.770642200000001</v>
      </c>
      <c r="U17" s="59">
        <v>0</v>
      </c>
      <c r="V17" s="8"/>
      <c r="W17" s="2"/>
      <c r="X17" s="2"/>
      <c r="Y17" s="8"/>
      <c r="Z17" s="8"/>
    </row>
    <row r="18" spans="2:26" x14ac:dyDescent="0.2">
      <c r="B18" s="8">
        <v>3</v>
      </c>
      <c r="C18" s="8">
        <v>1100</v>
      </c>
      <c r="D18" s="8">
        <v>0.43139179999999999</v>
      </c>
      <c r="E18" s="8">
        <v>0.9298246</v>
      </c>
      <c r="F18" s="8">
        <v>0.16142860000000001</v>
      </c>
      <c r="G18" s="8">
        <v>0.33947369999999999</v>
      </c>
      <c r="H18" s="8">
        <v>8.9776439999999999E-2</v>
      </c>
      <c r="I18" s="8">
        <v>0.16956540000000001</v>
      </c>
      <c r="J18" s="8">
        <v>0.1119317</v>
      </c>
      <c r="K18" s="8">
        <v>0.10086891000000001</v>
      </c>
      <c r="L18" s="5"/>
      <c r="M18" s="5"/>
      <c r="N18" s="5"/>
      <c r="O18" s="5"/>
      <c r="P18" s="5"/>
      <c r="Q18" s="27" t="s">
        <v>122</v>
      </c>
      <c r="R18" s="5"/>
      <c r="S18" s="28">
        <v>34.541284400000002</v>
      </c>
      <c r="T18" s="28">
        <v>34.541284400000002</v>
      </c>
      <c r="U18" s="59">
        <v>0</v>
      </c>
      <c r="V18" s="8"/>
      <c r="W18" s="2"/>
      <c r="X18" s="2"/>
      <c r="Y18" s="8"/>
      <c r="Z18" s="8"/>
    </row>
    <row r="19" spans="2:26" x14ac:dyDescent="0.2">
      <c r="B19" s="8">
        <v>3</v>
      </c>
      <c r="C19" s="8">
        <v>1300</v>
      </c>
      <c r="D19" s="8">
        <v>0.4258441</v>
      </c>
      <c r="E19" s="8">
        <v>0.93333330000000003</v>
      </c>
      <c r="F19" s="8">
        <v>0.17857139999999999</v>
      </c>
      <c r="G19" s="8">
        <v>0.35472219999999999</v>
      </c>
      <c r="H19" s="8">
        <v>9.3245320000000007E-2</v>
      </c>
      <c r="I19" s="8">
        <v>0.1657872</v>
      </c>
      <c r="J19" s="8">
        <v>0.1113986</v>
      </c>
      <c r="K19" s="8">
        <v>0.10065211</v>
      </c>
      <c r="L19" s="5"/>
      <c r="M19" s="49" t="s">
        <v>35</v>
      </c>
      <c r="N19" s="49"/>
      <c r="O19" s="49"/>
      <c r="P19" s="5"/>
      <c r="Q19" s="27" t="s">
        <v>123</v>
      </c>
      <c r="R19" s="5"/>
      <c r="S19" s="28">
        <v>100</v>
      </c>
      <c r="T19" s="28">
        <v>100</v>
      </c>
      <c r="U19" s="58">
        <v>3.9128018600000002E-2</v>
      </c>
      <c r="V19" s="8"/>
      <c r="W19" s="2"/>
      <c r="X19" s="2"/>
      <c r="Y19" s="8"/>
      <c r="Z19" s="8"/>
    </row>
    <row r="20" spans="2:26" x14ac:dyDescent="0.2">
      <c r="B20" s="8">
        <v>4</v>
      </c>
      <c r="C20" s="8">
        <v>100</v>
      </c>
      <c r="D20" s="8">
        <v>0.41334650000000001</v>
      </c>
      <c r="E20" s="8">
        <v>0.77380950000000004</v>
      </c>
      <c r="F20" s="8">
        <v>0.19571430000000001</v>
      </c>
      <c r="G20" s="8">
        <v>0.38429029999999997</v>
      </c>
      <c r="H20" s="8">
        <v>0.1017474</v>
      </c>
      <c r="I20" s="8">
        <v>0.32182519999999998</v>
      </c>
      <c r="J20" s="8">
        <v>0.13922850000000001</v>
      </c>
      <c r="K20" s="8">
        <v>0.11889216</v>
      </c>
      <c r="L20" s="5"/>
      <c r="M20" s="9" t="s">
        <v>145</v>
      </c>
      <c r="N20" s="9" t="s">
        <v>10</v>
      </c>
      <c r="O20" s="9" t="s">
        <v>11</v>
      </c>
      <c r="P20" s="5"/>
      <c r="Q20" s="27" t="s">
        <v>124</v>
      </c>
      <c r="R20" s="5"/>
      <c r="S20" s="28">
        <v>0</v>
      </c>
      <c r="T20" s="28">
        <v>0</v>
      </c>
      <c r="U20" s="29">
        <v>0</v>
      </c>
      <c r="V20" s="8"/>
      <c r="W20" s="2"/>
      <c r="X20" s="2"/>
      <c r="Y20" s="8"/>
      <c r="Z20" s="8"/>
    </row>
    <row r="21" spans="2:26" x14ac:dyDescent="0.2">
      <c r="B21" s="8">
        <v>4</v>
      </c>
      <c r="C21" s="8">
        <v>300</v>
      </c>
      <c r="D21" s="8">
        <v>0.39791179999999998</v>
      </c>
      <c r="E21" s="8">
        <v>0.86666670000000001</v>
      </c>
      <c r="F21" s="8">
        <v>0.1835714</v>
      </c>
      <c r="G21" s="8">
        <v>0.35739900000000002</v>
      </c>
      <c r="H21" s="8">
        <v>8.9546459999999994E-2</v>
      </c>
      <c r="I21" s="8">
        <v>0.2135744</v>
      </c>
      <c r="J21" s="8">
        <v>0.11738270000000001</v>
      </c>
      <c r="K21" s="8">
        <v>0.11189279000000001</v>
      </c>
      <c r="L21" s="5"/>
      <c r="M21" s="9" t="s">
        <v>8</v>
      </c>
      <c r="N21" s="10">
        <v>2</v>
      </c>
      <c r="O21" s="10">
        <v>0</v>
      </c>
      <c r="P21" s="5"/>
      <c r="Q21" s="27" t="s">
        <v>129</v>
      </c>
      <c r="R21" s="5"/>
      <c r="S21" s="28">
        <v>40.1376147</v>
      </c>
      <c r="T21" s="28">
        <v>40.1376147</v>
      </c>
      <c r="U21" s="19">
        <v>0</v>
      </c>
      <c r="V21" s="8"/>
      <c r="W21" s="2"/>
      <c r="X21" s="2"/>
      <c r="Y21" s="8"/>
      <c r="Z21" s="8"/>
    </row>
    <row r="22" spans="2:26" x14ac:dyDescent="0.2">
      <c r="B22" s="8">
        <v>4</v>
      </c>
      <c r="C22" s="8">
        <v>500</v>
      </c>
      <c r="D22" s="8">
        <v>0.42038409999999998</v>
      </c>
      <c r="E22" s="8">
        <v>0.91269840000000002</v>
      </c>
      <c r="F22" s="8">
        <v>0.1892857</v>
      </c>
      <c r="G22" s="8">
        <v>0.37484849999999997</v>
      </c>
      <c r="H22" s="8">
        <v>8.9356610000000003E-2</v>
      </c>
      <c r="I22" s="8">
        <v>0.245057</v>
      </c>
      <c r="J22" s="8">
        <v>0.1131735</v>
      </c>
      <c r="K22" s="8">
        <v>9.2795359999999993E-2</v>
      </c>
      <c r="L22" s="5"/>
      <c r="M22" s="9" t="s">
        <v>9</v>
      </c>
      <c r="N22" s="10">
        <v>7</v>
      </c>
      <c r="O22" s="10">
        <v>37</v>
      </c>
      <c r="P22" s="5"/>
      <c r="Q22" s="27" t="s">
        <v>128</v>
      </c>
      <c r="R22" s="5"/>
      <c r="S22" s="28">
        <v>34.266055000000001</v>
      </c>
      <c r="T22" s="28">
        <v>34.266055000000001</v>
      </c>
      <c r="U22" s="19">
        <v>0</v>
      </c>
      <c r="V22" s="8"/>
      <c r="W22" s="2"/>
      <c r="X22" s="2"/>
      <c r="Y22" s="8"/>
      <c r="Z22" s="8"/>
    </row>
    <row r="23" spans="2:26" x14ac:dyDescent="0.2">
      <c r="B23" s="8">
        <v>4</v>
      </c>
      <c r="C23" s="8">
        <v>700</v>
      </c>
      <c r="D23" s="8">
        <v>0.4132382</v>
      </c>
      <c r="E23" s="8">
        <v>0.87301589999999996</v>
      </c>
      <c r="F23" s="8">
        <v>0.18285709999999999</v>
      </c>
      <c r="G23" s="8">
        <v>0.35906569999999999</v>
      </c>
      <c r="H23" s="8">
        <v>9.4560019999999995E-2</v>
      </c>
      <c r="I23" s="8">
        <v>0.2630207</v>
      </c>
      <c r="J23" s="8">
        <v>0.11598899999999999</v>
      </c>
      <c r="K23" s="8">
        <v>0.10565191</v>
      </c>
      <c r="L23" s="5"/>
      <c r="M23" s="5"/>
      <c r="N23" s="5"/>
      <c r="O23" s="5"/>
      <c r="P23" s="5"/>
      <c r="Q23" s="27" t="s">
        <v>127</v>
      </c>
      <c r="R23" s="5"/>
      <c r="S23" s="28">
        <v>20.779816499999999</v>
      </c>
      <c r="T23" s="28">
        <v>20.779816499999999</v>
      </c>
      <c r="U23" s="19">
        <v>0</v>
      </c>
      <c r="V23" s="8"/>
      <c r="W23" s="2"/>
      <c r="X23" s="2"/>
      <c r="Y23" s="8"/>
      <c r="Z23" s="8"/>
    </row>
    <row r="24" spans="2:26" x14ac:dyDescent="0.2">
      <c r="B24" s="8">
        <v>4</v>
      </c>
      <c r="C24" s="8">
        <v>900</v>
      </c>
      <c r="D24" s="8">
        <v>0.4125239</v>
      </c>
      <c r="E24" s="8">
        <v>0.84126979999999996</v>
      </c>
      <c r="F24" s="8">
        <v>0.1835714</v>
      </c>
      <c r="G24" s="8">
        <v>0.35747469999999998</v>
      </c>
      <c r="H24" s="8">
        <v>9.1258179999999994E-2</v>
      </c>
      <c r="I24" s="8">
        <v>0.26602100000000001</v>
      </c>
      <c r="J24" s="8">
        <v>0.1116988</v>
      </c>
      <c r="K24" s="8">
        <v>9.3778570000000006E-2</v>
      </c>
      <c r="L24" s="5"/>
      <c r="M24" s="51" t="s">
        <v>69</v>
      </c>
      <c r="N24" s="51"/>
      <c r="O24" s="5"/>
      <c r="P24" s="5"/>
      <c r="Q24" s="27" t="s">
        <v>126</v>
      </c>
      <c r="R24" s="5"/>
      <c r="S24" s="28">
        <v>26.284403699999999</v>
      </c>
      <c r="T24" s="28">
        <v>26.284403699999999</v>
      </c>
      <c r="U24" s="19">
        <v>0</v>
      </c>
      <c r="V24" s="8"/>
      <c r="W24" s="2"/>
      <c r="X24" s="2"/>
      <c r="Y24" s="8"/>
      <c r="Z24" s="8"/>
    </row>
    <row r="25" spans="2:26" x14ac:dyDescent="0.2">
      <c r="B25" s="8">
        <v>4</v>
      </c>
      <c r="C25" s="8">
        <v>1100</v>
      </c>
      <c r="D25" s="8">
        <v>0.41097529999999999</v>
      </c>
      <c r="E25" s="8">
        <v>0.84920629999999997</v>
      </c>
      <c r="F25" s="8">
        <v>0.17857139999999999</v>
      </c>
      <c r="G25" s="8">
        <v>0.35151520000000003</v>
      </c>
      <c r="H25" s="8">
        <v>8.9320499999999997E-2</v>
      </c>
      <c r="I25" s="8">
        <v>0.27337790000000001</v>
      </c>
      <c r="J25" s="8">
        <v>0.1113986</v>
      </c>
      <c r="K25" s="8">
        <v>0.10179941000000001</v>
      </c>
      <c r="L25" s="5"/>
      <c r="M25" s="5" t="s">
        <v>22</v>
      </c>
      <c r="N25" s="5">
        <v>0.22222</v>
      </c>
      <c r="O25" s="5"/>
      <c r="P25" s="5"/>
      <c r="Q25" s="27" t="s">
        <v>125</v>
      </c>
      <c r="R25" s="5"/>
      <c r="S25" s="28">
        <v>0.2293578</v>
      </c>
      <c r="T25" s="28">
        <v>0.2293578</v>
      </c>
      <c r="U25" s="29">
        <v>3.4295294999999999E-3</v>
      </c>
      <c r="V25" s="8"/>
      <c r="W25" s="2"/>
      <c r="X25" s="2"/>
      <c r="Y25" s="8"/>
      <c r="Z25" s="8"/>
    </row>
    <row r="26" spans="2:26" x14ac:dyDescent="0.2">
      <c r="B26" s="8">
        <v>4</v>
      </c>
      <c r="C26" s="8">
        <v>1300</v>
      </c>
      <c r="D26" s="8">
        <v>0.4196029</v>
      </c>
      <c r="E26" s="8">
        <v>0.85714290000000004</v>
      </c>
      <c r="F26" s="8">
        <v>0.1842857</v>
      </c>
      <c r="G26" s="8">
        <v>0.360404</v>
      </c>
      <c r="H26" s="8">
        <v>9.444139E-2</v>
      </c>
      <c r="I26" s="8">
        <v>0.2650247</v>
      </c>
      <c r="J26" s="8">
        <v>0.1131407</v>
      </c>
      <c r="K26" s="8">
        <v>9.7590220000000005E-2</v>
      </c>
      <c r="L26" s="5"/>
      <c r="M26" s="5" t="s">
        <v>21</v>
      </c>
      <c r="N26" s="5">
        <v>1</v>
      </c>
      <c r="O26" s="5"/>
      <c r="P26" s="5"/>
      <c r="Q26" s="18"/>
      <c r="R26" s="19"/>
      <c r="S26" s="20"/>
      <c r="T26" s="19"/>
      <c r="U26" s="19"/>
      <c r="V26" s="8"/>
      <c r="W26" s="2"/>
      <c r="X26" s="2"/>
      <c r="Y26" s="8"/>
      <c r="Z26" s="8"/>
    </row>
    <row r="27" spans="2:26" x14ac:dyDescent="0.2">
      <c r="B27" s="8">
        <v>5</v>
      </c>
      <c r="C27" s="8">
        <v>100</v>
      </c>
      <c r="D27" s="8">
        <v>0.40775099999999997</v>
      </c>
      <c r="E27" s="8">
        <v>0.77272730000000001</v>
      </c>
      <c r="F27" s="8">
        <v>0.19500000000000001</v>
      </c>
      <c r="G27" s="8">
        <v>0.35036079999999997</v>
      </c>
      <c r="H27" s="8">
        <v>9.5709180000000005E-2</v>
      </c>
      <c r="I27" s="8">
        <v>0.2699474</v>
      </c>
      <c r="J27" s="8">
        <v>0.11433219999999999</v>
      </c>
      <c r="K27" s="8">
        <v>0.10405354</v>
      </c>
      <c r="L27" s="5"/>
      <c r="M27" s="5" t="s">
        <v>20</v>
      </c>
      <c r="N27" s="5">
        <v>1</v>
      </c>
      <c r="O27" s="5"/>
      <c r="P27" s="5"/>
      <c r="Q27" s="18"/>
      <c r="R27" s="19"/>
      <c r="S27" s="20"/>
      <c r="T27" s="19"/>
      <c r="U27" s="18" t="s">
        <v>194</v>
      </c>
      <c r="V27" s="8"/>
      <c r="W27" s="2"/>
      <c r="X27" s="2"/>
      <c r="Y27" s="8"/>
      <c r="Z27" s="8"/>
    </row>
    <row r="28" spans="2:26" x14ac:dyDescent="0.2">
      <c r="B28" s="8">
        <v>5</v>
      </c>
      <c r="C28" s="8">
        <v>300</v>
      </c>
      <c r="D28" s="8">
        <v>0.3941694</v>
      </c>
      <c r="E28" s="8">
        <v>0.78787879999999999</v>
      </c>
      <c r="F28" s="8">
        <v>0.20571429999999999</v>
      </c>
      <c r="G28" s="8">
        <v>0.3693362</v>
      </c>
      <c r="H28" s="8">
        <v>9.8997890000000005E-2</v>
      </c>
      <c r="I28" s="8">
        <v>0.27304780000000001</v>
      </c>
      <c r="J28" s="8">
        <v>0.12691140000000001</v>
      </c>
      <c r="K28" s="8">
        <v>0.12638379</v>
      </c>
      <c r="L28" s="5"/>
      <c r="M28" s="5" t="s">
        <v>19</v>
      </c>
      <c r="N28" s="5">
        <v>0.84089999999999998</v>
      </c>
      <c r="O28" s="5"/>
      <c r="P28" s="5"/>
      <c r="Q28" s="18"/>
      <c r="R28" s="19"/>
      <c r="S28" s="19"/>
      <c r="T28" s="19"/>
      <c r="U28" s="19"/>
      <c r="V28" s="8"/>
      <c r="W28" s="2"/>
      <c r="X28" s="2"/>
      <c r="Y28" s="8"/>
      <c r="Z28" s="8"/>
    </row>
    <row r="29" spans="2:26" x14ac:dyDescent="0.2">
      <c r="B29" s="8">
        <v>5</v>
      </c>
      <c r="C29" s="8">
        <v>500</v>
      </c>
      <c r="D29" s="8">
        <v>0.40384809999999999</v>
      </c>
      <c r="E29" s="8">
        <v>0.83333330000000005</v>
      </c>
      <c r="F29" s="8">
        <v>0.1892857</v>
      </c>
      <c r="G29" s="8">
        <v>0.3656818</v>
      </c>
      <c r="H29" s="8">
        <v>9.5397239999999994E-2</v>
      </c>
      <c r="I29" s="8">
        <v>0.27386129999999997</v>
      </c>
      <c r="J29" s="8">
        <v>0.120453</v>
      </c>
      <c r="K29" s="8">
        <v>0.10894578000000001</v>
      </c>
      <c r="L29" s="9"/>
      <c r="M29" s="5" t="s">
        <v>18</v>
      </c>
      <c r="N29" s="5">
        <v>0.8478</v>
      </c>
      <c r="O29" s="5"/>
      <c r="P29" s="5"/>
      <c r="Q29" s="52" t="s">
        <v>111</v>
      </c>
      <c r="R29" s="52"/>
      <c r="S29" s="19"/>
      <c r="T29" s="19"/>
      <c r="U29" s="19"/>
      <c r="V29" s="8"/>
      <c r="W29" s="2"/>
      <c r="X29" s="2"/>
      <c r="Y29" s="8"/>
      <c r="Z29" s="8"/>
    </row>
    <row r="30" spans="2:26" x14ac:dyDescent="0.2">
      <c r="B30" s="8">
        <v>5</v>
      </c>
      <c r="C30" s="8">
        <v>700</v>
      </c>
      <c r="D30" s="8">
        <v>0.39534560000000002</v>
      </c>
      <c r="E30" s="8">
        <v>0.78030299999999997</v>
      </c>
      <c r="F30" s="8">
        <v>0.1892857</v>
      </c>
      <c r="G30" s="8">
        <v>0.3448773</v>
      </c>
      <c r="H30" s="8">
        <v>9.2983159999999995E-2</v>
      </c>
      <c r="I30" s="8">
        <v>0.27882200000000001</v>
      </c>
      <c r="J30" s="8">
        <v>0.1187869</v>
      </c>
      <c r="K30" s="8">
        <v>0.12177272</v>
      </c>
      <c r="L30" s="10"/>
      <c r="M30" s="5" t="s">
        <v>17</v>
      </c>
      <c r="N30" s="5">
        <v>0.36359999999999998</v>
      </c>
      <c r="O30" s="5"/>
      <c r="P30" s="5"/>
      <c r="Q30" s="5" t="s">
        <v>38</v>
      </c>
      <c r="R30" s="5" t="s">
        <v>112</v>
      </c>
      <c r="S30" s="19"/>
      <c r="T30" s="19"/>
      <c r="U30" s="19"/>
      <c r="V30" s="8"/>
      <c r="W30" s="2"/>
      <c r="X30" s="2"/>
      <c r="Y30" s="8"/>
      <c r="Z30" s="8"/>
    </row>
    <row r="31" spans="2:26" x14ac:dyDescent="0.2">
      <c r="B31" s="8">
        <v>5</v>
      </c>
      <c r="C31" s="8">
        <v>900</v>
      </c>
      <c r="D31" s="8">
        <v>0.40284249999999999</v>
      </c>
      <c r="E31" s="8">
        <v>0.85714290000000004</v>
      </c>
      <c r="F31" s="8">
        <v>0.1892857</v>
      </c>
      <c r="G31" s="8">
        <v>0.36901519999999999</v>
      </c>
      <c r="H31" s="8">
        <v>9.6414440000000004E-2</v>
      </c>
      <c r="I31" s="8">
        <v>0.2650247</v>
      </c>
      <c r="J31" s="8">
        <v>0.1131735</v>
      </c>
      <c r="K31" s="8">
        <v>9.2398930000000004E-2</v>
      </c>
      <c r="M31" s="5" t="s">
        <v>28</v>
      </c>
      <c r="N31" s="5">
        <v>0.43230000000000002</v>
      </c>
      <c r="O31" s="5"/>
      <c r="P31" s="5"/>
      <c r="Q31" s="16" t="s">
        <v>73</v>
      </c>
      <c r="R31" s="16">
        <v>0.49019960000000001</v>
      </c>
      <c r="S31" s="19"/>
      <c r="T31" s="19"/>
      <c r="U31" s="3"/>
      <c r="V31" s="8"/>
      <c r="W31" s="2"/>
      <c r="X31" s="2"/>
      <c r="Y31" s="8"/>
      <c r="Z31" s="8"/>
    </row>
    <row r="32" spans="2:26" x14ac:dyDescent="0.2">
      <c r="B32" s="8">
        <v>5</v>
      </c>
      <c r="C32" s="8">
        <v>1100</v>
      </c>
      <c r="D32" s="8">
        <v>0.39600099999999999</v>
      </c>
      <c r="E32" s="8">
        <v>0.81666669999999997</v>
      </c>
      <c r="F32" s="8">
        <v>0.1842857</v>
      </c>
      <c r="G32" s="8">
        <v>0.3538636</v>
      </c>
      <c r="H32" s="8">
        <v>9.7250119999999995E-2</v>
      </c>
      <c r="I32" s="8">
        <v>0.21561820000000001</v>
      </c>
      <c r="J32" s="8">
        <v>0.1113652</v>
      </c>
      <c r="K32" s="8">
        <v>9.398215E-2</v>
      </c>
      <c r="M32" s="5" t="s">
        <v>33</v>
      </c>
      <c r="N32" s="5">
        <v>0.61111000000000004</v>
      </c>
      <c r="O32" s="5"/>
      <c r="P32" s="5"/>
      <c r="Q32" s="16" t="s">
        <v>74</v>
      </c>
      <c r="R32" s="16">
        <v>0.43018400000000001</v>
      </c>
      <c r="S32" s="19"/>
      <c r="T32" s="19"/>
      <c r="U32" s="19"/>
      <c r="V32" s="8"/>
      <c r="W32" s="2"/>
      <c r="X32" s="2"/>
      <c r="Y32" s="8"/>
      <c r="Z32" s="8"/>
    </row>
    <row r="33" spans="2:26" x14ac:dyDescent="0.2">
      <c r="B33" s="8">
        <v>5</v>
      </c>
      <c r="C33" s="8">
        <v>1300</v>
      </c>
      <c r="D33" s="8">
        <v>0.3977871</v>
      </c>
      <c r="E33" s="8">
        <v>0.78030299999999997</v>
      </c>
      <c r="F33" s="8">
        <v>0.19428570000000001</v>
      </c>
      <c r="G33" s="8">
        <v>0.37113639999999998</v>
      </c>
      <c r="H33" s="8">
        <v>9.5523590000000005E-2</v>
      </c>
      <c r="I33" s="8">
        <v>0.31867099999999998</v>
      </c>
      <c r="J33" s="8">
        <v>0.12556419999999999</v>
      </c>
      <c r="K33" s="8">
        <v>0.11582344999999999</v>
      </c>
      <c r="M33" s="5"/>
      <c r="N33" s="5"/>
      <c r="O33" s="5"/>
      <c r="P33" s="5"/>
      <c r="Q33" s="16" t="s">
        <v>75</v>
      </c>
      <c r="R33" s="16">
        <v>0.51913069999999994</v>
      </c>
      <c r="S33" s="19"/>
      <c r="T33" s="19"/>
      <c r="U33" s="3"/>
      <c r="V33" s="8"/>
      <c r="W33" s="2"/>
      <c r="X33" s="2"/>
      <c r="Y33" s="8"/>
      <c r="Z33" s="8"/>
    </row>
    <row r="34" spans="2:26" x14ac:dyDescent="0.2">
      <c r="B34" s="8">
        <v>6</v>
      </c>
      <c r="C34" s="8">
        <v>100</v>
      </c>
      <c r="D34" s="8">
        <v>0.38905020000000001</v>
      </c>
      <c r="E34" s="8">
        <v>0.74637679999999995</v>
      </c>
      <c r="F34" s="8">
        <v>0.19500000000000001</v>
      </c>
      <c r="G34" s="8">
        <v>0.35228480000000001</v>
      </c>
      <c r="H34" s="8">
        <v>9.24542E-2</v>
      </c>
      <c r="I34" s="8">
        <v>0.32125690000000001</v>
      </c>
      <c r="J34" s="8">
        <v>0.1198914</v>
      </c>
      <c r="K34" s="8">
        <v>0.1202828</v>
      </c>
      <c r="M34" s="49" t="s">
        <v>149</v>
      </c>
      <c r="N34" s="49"/>
      <c r="O34" s="49"/>
      <c r="P34" s="5"/>
      <c r="Q34" s="16" t="s">
        <v>76</v>
      </c>
      <c r="R34" s="16">
        <v>0.48861650000000001</v>
      </c>
      <c r="S34" s="19"/>
      <c r="T34" s="19"/>
      <c r="U34" s="19"/>
      <c r="V34" s="8"/>
      <c r="W34" s="2"/>
      <c r="X34" s="2"/>
      <c r="Y34" s="8"/>
      <c r="Z34" s="8"/>
    </row>
    <row r="35" spans="2:26" ht="16" customHeight="1" x14ac:dyDescent="0.2">
      <c r="B35" s="8">
        <v>6</v>
      </c>
      <c r="C35" s="8">
        <v>300</v>
      </c>
      <c r="D35" s="8">
        <v>0.39226169999999999</v>
      </c>
      <c r="E35" s="8">
        <v>0.76515149999999998</v>
      </c>
      <c r="F35" s="8">
        <v>0.2</v>
      </c>
      <c r="G35" s="8">
        <v>0.37823230000000002</v>
      </c>
      <c r="H35" s="8">
        <v>9.683456E-2</v>
      </c>
      <c r="I35" s="8">
        <v>0.31563780000000002</v>
      </c>
      <c r="J35" s="8">
        <v>0.12637419999999999</v>
      </c>
      <c r="K35" s="8">
        <v>0.11151453</v>
      </c>
      <c r="M35" s="9" t="s">
        <v>145</v>
      </c>
      <c r="N35" s="9" t="s">
        <v>10</v>
      </c>
      <c r="O35" s="9" t="s">
        <v>11</v>
      </c>
      <c r="P35" s="5"/>
      <c r="Q35" s="16" t="s">
        <v>77</v>
      </c>
      <c r="R35" s="16">
        <v>0.50852070000000005</v>
      </c>
      <c r="S35" s="8"/>
      <c r="T35" s="24"/>
      <c r="U35" s="8"/>
      <c r="V35" s="24"/>
      <c r="W35" s="8"/>
      <c r="X35" s="2"/>
      <c r="Y35" s="8"/>
      <c r="Z35" s="8"/>
    </row>
    <row r="36" spans="2:26" x14ac:dyDescent="0.2">
      <c r="B36" s="8">
        <v>6</v>
      </c>
      <c r="C36" s="8">
        <v>500</v>
      </c>
      <c r="D36" s="8">
        <v>0.3866154</v>
      </c>
      <c r="E36" s="8">
        <v>0.75</v>
      </c>
      <c r="F36" s="8">
        <v>0.20571429999999999</v>
      </c>
      <c r="G36" s="8">
        <v>0.38573229999999997</v>
      </c>
      <c r="H36" s="8">
        <v>9.2270720000000001E-2</v>
      </c>
      <c r="I36" s="8">
        <v>0.31180479999999999</v>
      </c>
      <c r="J36" s="8">
        <v>0.12691140000000001</v>
      </c>
      <c r="K36" s="8">
        <v>0.10740470000000001</v>
      </c>
      <c r="M36" s="9" t="s">
        <v>8</v>
      </c>
      <c r="N36" s="10">
        <v>11</v>
      </c>
      <c r="O36" s="10">
        <v>25</v>
      </c>
      <c r="P36" s="5"/>
      <c r="Q36" s="18"/>
      <c r="R36" s="2"/>
      <c r="S36" s="8"/>
      <c r="T36" s="8"/>
      <c r="U36" s="8"/>
      <c r="V36" s="8"/>
      <c r="W36" s="8"/>
      <c r="X36" s="2"/>
      <c r="Y36" s="8"/>
      <c r="Z36" s="8"/>
    </row>
    <row r="37" spans="2:26" x14ac:dyDescent="0.2">
      <c r="B37" s="8">
        <v>6</v>
      </c>
      <c r="C37" s="8">
        <v>700</v>
      </c>
      <c r="D37" s="8">
        <v>0.3900614</v>
      </c>
      <c r="E37" s="8">
        <v>0.80952380000000002</v>
      </c>
      <c r="F37" s="8">
        <v>0.21142859999999999</v>
      </c>
      <c r="G37" s="8">
        <v>0.37647910000000001</v>
      </c>
      <c r="H37" s="8">
        <v>9.5754510000000001E-2</v>
      </c>
      <c r="I37" s="8">
        <v>0.21269250000000001</v>
      </c>
      <c r="J37" s="8">
        <v>0.12717909999999999</v>
      </c>
      <c r="K37" s="8">
        <v>0.12350809</v>
      </c>
      <c r="M37" s="9" t="s">
        <v>9</v>
      </c>
      <c r="N37" s="10">
        <v>5</v>
      </c>
      <c r="O37" s="10">
        <v>144</v>
      </c>
      <c r="Q37" s="12" t="s">
        <v>13</v>
      </c>
      <c r="R37" s="2"/>
      <c r="S37" s="8"/>
      <c r="T37" s="8"/>
      <c r="U37" s="8"/>
      <c r="V37" s="8"/>
      <c r="W37" s="8"/>
      <c r="X37" s="2"/>
      <c r="Y37" s="8"/>
      <c r="Z37" s="8"/>
    </row>
    <row r="38" spans="2:26" x14ac:dyDescent="0.2">
      <c r="B38" s="8">
        <v>6</v>
      </c>
      <c r="C38" s="8">
        <v>900</v>
      </c>
      <c r="D38" s="8">
        <v>0.39364369999999999</v>
      </c>
      <c r="E38" s="8">
        <v>0.77272730000000001</v>
      </c>
      <c r="F38" s="8">
        <v>0.20071430000000001</v>
      </c>
      <c r="G38" s="8">
        <v>0.3621453</v>
      </c>
      <c r="H38" s="8">
        <v>9.6267060000000002E-2</v>
      </c>
      <c r="I38" s="8">
        <v>0.2699474</v>
      </c>
      <c r="J38" s="8">
        <v>0.1151843</v>
      </c>
      <c r="K38" s="8">
        <v>0.10663690000000001</v>
      </c>
      <c r="M38" s="2"/>
      <c r="N38" s="8"/>
      <c r="O38" s="8"/>
      <c r="Q38" s="4" t="s">
        <v>150</v>
      </c>
      <c r="R38" s="2"/>
      <c r="S38" s="8"/>
      <c r="T38" s="8"/>
      <c r="U38" s="8"/>
      <c r="V38" s="8"/>
      <c r="W38" s="8"/>
      <c r="X38" s="2"/>
      <c r="Y38" s="8"/>
      <c r="Z38" s="8"/>
    </row>
    <row r="39" spans="2:26" x14ac:dyDescent="0.2">
      <c r="B39" s="8">
        <v>6</v>
      </c>
      <c r="C39" s="8">
        <v>1100</v>
      </c>
      <c r="D39" s="8">
        <v>0.39260980000000001</v>
      </c>
      <c r="E39" s="8">
        <v>0.75757580000000002</v>
      </c>
      <c r="F39" s="8">
        <v>0.19428570000000001</v>
      </c>
      <c r="G39" s="8">
        <v>0.34843669999999999</v>
      </c>
      <c r="H39" s="8">
        <v>9.7098139999999999E-2</v>
      </c>
      <c r="I39" s="8">
        <v>0.26590799999999998</v>
      </c>
      <c r="J39" s="8">
        <v>0.11859889999999999</v>
      </c>
      <c r="K39" s="8">
        <v>0.11443734999999999</v>
      </c>
      <c r="M39" s="12" t="s">
        <v>147</v>
      </c>
      <c r="N39" s="8"/>
      <c r="O39" s="54" t="s">
        <v>148</v>
      </c>
      <c r="Q39" s="5" t="s">
        <v>167</v>
      </c>
      <c r="R39" s="2"/>
      <c r="S39" s="8"/>
      <c r="T39" s="8"/>
      <c r="U39" s="8"/>
      <c r="V39" s="8"/>
      <c r="W39" s="8"/>
      <c r="X39" s="2"/>
      <c r="Y39" s="8"/>
      <c r="Z39" s="8"/>
    </row>
    <row r="40" spans="2:26" x14ac:dyDescent="0.2">
      <c r="B40" s="8">
        <v>6</v>
      </c>
      <c r="C40" s="8">
        <v>1300</v>
      </c>
      <c r="D40" s="8">
        <v>0.39285300000000001</v>
      </c>
      <c r="E40" s="8">
        <v>0.77272730000000001</v>
      </c>
      <c r="F40" s="8">
        <v>0.20571429999999999</v>
      </c>
      <c r="G40" s="8">
        <v>0.3690717</v>
      </c>
      <c r="H40" s="8">
        <v>9.1628940000000006E-2</v>
      </c>
      <c r="I40" s="8">
        <v>0.2699474</v>
      </c>
      <c r="J40" s="8">
        <v>0.1200243</v>
      </c>
      <c r="K40" s="8">
        <v>0.11370805</v>
      </c>
      <c r="M40" s="26" t="s">
        <v>146</v>
      </c>
      <c r="N40" s="8"/>
      <c r="O40" s="54"/>
      <c r="Q40" s="18"/>
      <c r="R40" s="2"/>
      <c r="S40" s="8"/>
      <c r="T40" s="8"/>
      <c r="U40" s="8"/>
      <c r="V40" s="8"/>
      <c r="W40" s="8"/>
    </row>
    <row r="41" spans="2:26" x14ac:dyDescent="0.2">
      <c r="B41" s="8">
        <v>7</v>
      </c>
      <c r="C41" s="8">
        <v>100</v>
      </c>
      <c r="D41" s="8">
        <v>0.36588310000000002</v>
      </c>
      <c r="E41" s="8">
        <v>0.83333330000000005</v>
      </c>
      <c r="F41" s="8">
        <v>0.20071430000000001</v>
      </c>
      <c r="G41" s="8">
        <v>0.36327559999999998</v>
      </c>
      <c r="H41" s="8">
        <v>0.10077576000000001</v>
      </c>
      <c r="I41" s="8">
        <v>0.2297341</v>
      </c>
      <c r="J41" s="8">
        <v>0.1207042</v>
      </c>
      <c r="K41" s="8">
        <v>0.11979178</v>
      </c>
      <c r="M41" s="5" t="s">
        <v>165</v>
      </c>
      <c r="N41" s="8"/>
      <c r="O41" s="8"/>
      <c r="Q41" s="18"/>
      <c r="R41" s="2"/>
      <c r="S41" s="8"/>
      <c r="T41" s="8"/>
      <c r="U41" s="8"/>
      <c r="V41" s="8"/>
      <c r="W41" s="8"/>
    </row>
    <row r="42" spans="2:26" x14ac:dyDescent="0.2">
      <c r="B42" s="8">
        <v>7</v>
      </c>
      <c r="C42" s="8">
        <v>300</v>
      </c>
      <c r="D42" s="8">
        <v>0.38356469999999998</v>
      </c>
      <c r="E42" s="8">
        <v>0.75757580000000002</v>
      </c>
      <c r="F42" s="8">
        <v>0.20571429999999999</v>
      </c>
      <c r="G42" s="8">
        <v>0.36695529999999998</v>
      </c>
      <c r="H42" s="8">
        <v>0.10042394</v>
      </c>
      <c r="I42" s="8">
        <v>0.26590799999999998</v>
      </c>
      <c r="J42" s="8">
        <v>0.1200243</v>
      </c>
      <c r="K42" s="8">
        <v>0.11264365</v>
      </c>
      <c r="M42" s="5" t="s">
        <v>166</v>
      </c>
      <c r="N42" s="8"/>
      <c r="O42" s="8"/>
      <c r="Q42" s="18"/>
      <c r="R42" s="2"/>
      <c r="S42" s="8"/>
      <c r="T42" s="8"/>
    </row>
    <row r="43" spans="2:26" x14ac:dyDescent="0.2">
      <c r="B43" s="8">
        <v>7</v>
      </c>
      <c r="C43" s="8">
        <v>500</v>
      </c>
      <c r="D43" s="8">
        <v>0.3808338</v>
      </c>
      <c r="E43" s="8">
        <v>0.76893940000000005</v>
      </c>
      <c r="F43" s="8">
        <v>0.20642859999999999</v>
      </c>
      <c r="G43" s="8">
        <v>0.36801349999999999</v>
      </c>
      <c r="H43" s="8">
        <v>9.3308059999999998E-2</v>
      </c>
      <c r="I43" s="8">
        <v>0.27927980000000002</v>
      </c>
      <c r="J43" s="8">
        <v>0.1228644</v>
      </c>
      <c r="K43" s="8">
        <v>0.11523614</v>
      </c>
      <c r="Q43" s="18"/>
      <c r="R43" s="2"/>
      <c r="S43" s="8"/>
      <c r="T43" s="8"/>
    </row>
    <row r="44" spans="2:26" x14ac:dyDescent="0.2">
      <c r="B44" s="8">
        <v>7</v>
      </c>
      <c r="C44" s="8">
        <v>700</v>
      </c>
      <c r="D44" s="8">
        <v>0.38370140000000003</v>
      </c>
      <c r="E44" s="8">
        <v>0.74242419999999998</v>
      </c>
      <c r="F44" s="8">
        <v>0.20571429999999999</v>
      </c>
      <c r="G44" s="8">
        <v>0.36416549999999998</v>
      </c>
      <c r="H44" s="8">
        <v>9.5545900000000003E-2</v>
      </c>
      <c r="I44" s="8">
        <v>0.28043459999999998</v>
      </c>
      <c r="J44" s="8">
        <v>0.1200243</v>
      </c>
      <c r="K44" s="8">
        <v>0.11389773</v>
      </c>
      <c r="M44" s="49" t="s">
        <v>108</v>
      </c>
      <c r="N44" s="49"/>
      <c r="O44" s="49"/>
      <c r="P44" s="49"/>
      <c r="Q44" s="49"/>
      <c r="R44" s="6"/>
    </row>
    <row r="45" spans="2:26" x14ac:dyDescent="0.2">
      <c r="B45" s="8">
        <v>7</v>
      </c>
      <c r="C45" s="8">
        <v>900</v>
      </c>
      <c r="D45" s="8">
        <v>0.38790520000000001</v>
      </c>
      <c r="E45" s="8">
        <v>0.75</v>
      </c>
      <c r="F45" s="8">
        <v>0.2</v>
      </c>
      <c r="G45" s="8">
        <v>0.3566378</v>
      </c>
      <c r="H45" s="8">
        <v>9.2115820000000001E-2</v>
      </c>
      <c r="I45" s="8">
        <v>0.27578649999999999</v>
      </c>
      <c r="J45" s="8">
        <v>0.1194561</v>
      </c>
      <c r="K45" s="8">
        <v>0.11535527</v>
      </c>
      <c r="M45" s="5" t="s">
        <v>112</v>
      </c>
      <c r="N45" s="5" t="s">
        <v>5</v>
      </c>
      <c r="O45" s="5" t="s">
        <v>6</v>
      </c>
      <c r="P45" s="5" t="s">
        <v>7</v>
      </c>
      <c r="Q45" s="5" t="s">
        <v>38</v>
      </c>
      <c r="R45" s="5"/>
    </row>
    <row r="46" spans="2:26" x14ac:dyDescent="0.2">
      <c r="B46" s="8">
        <v>7</v>
      </c>
      <c r="C46" s="8">
        <v>1100</v>
      </c>
      <c r="D46" s="8">
        <v>0.38792270000000001</v>
      </c>
      <c r="E46" s="8">
        <v>0.76136360000000003</v>
      </c>
      <c r="F46" s="8">
        <v>0.20571429999999999</v>
      </c>
      <c r="G46" s="8">
        <v>0.36462240000000001</v>
      </c>
      <c r="H46" s="8">
        <v>9.1613059999999996E-2</v>
      </c>
      <c r="I46" s="8">
        <v>0.26514379999999999</v>
      </c>
      <c r="J46" s="8">
        <v>0.12691140000000001</v>
      </c>
      <c r="K46" s="8">
        <v>0.12085147</v>
      </c>
      <c r="M46" s="32">
        <v>0.48919489999999999</v>
      </c>
      <c r="N46" s="32">
        <v>1</v>
      </c>
      <c r="O46" s="32">
        <v>0.42857139999999999</v>
      </c>
      <c r="P46" s="32">
        <v>0.6</v>
      </c>
      <c r="Q46" s="32" t="s">
        <v>51</v>
      </c>
      <c r="R46" s="11"/>
    </row>
    <row r="47" spans="2:26" x14ac:dyDescent="0.2">
      <c r="B47" s="8">
        <v>7</v>
      </c>
      <c r="C47" s="8">
        <v>1300</v>
      </c>
      <c r="D47" s="8">
        <v>0.37851620000000002</v>
      </c>
      <c r="E47" s="8">
        <v>0.75757580000000002</v>
      </c>
      <c r="F47" s="8">
        <v>0.20571429999999999</v>
      </c>
      <c r="G47" s="8">
        <v>0.36695529999999998</v>
      </c>
      <c r="H47" s="8">
        <v>9.3125340000000001E-2</v>
      </c>
      <c r="I47" s="8">
        <v>0.26590799999999998</v>
      </c>
      <c r="J47" s="8">
        <v>0.1200243</v>
      </c>
      <c r="K47" s="8">
        <v>0.11264365</v>
      </c>
      <c r="M47" s="32">
        <v>0.33795429999999999</v>
      </c>
      <c r="N47" s="32">
        <v>0.66666669999999995</v>
      </c>
      <c r="O47" s="32">
        <v>0.25</v>
      </c>
      <c r="P47" s="32">
        <v>0.36363640000000003</v>
      </c>
      <c r="Q47" s="32" t="s">
        <v>53</v>
      </c>
      <c r="R47" s="11"/>
    </row>
    <row r="48" spans="2:26" x14ac:dyDescent="0.2">
      <c r="B48" s="8">
        <v>8</v>
      </c>
      <c r="C48" s="8">
        <v>100</v>
      </c>
      <c r="D48" s="8">
        <v>0.38042179999999998</v>
      </c>
      <c r="E48" s="8">
        <v>0.71666669999999999</v>
      </c>
      <c r="F48" s="8">
        <v>0.2171429</v>
      </c>
      <c r="G48" s="8">
        <v>0.35902200000000001</v>
      </c>
      <c r="H48" s="8">
        <v>9.8667820000000003E-2</v>
      </c>
      <c r="I48" s="8">
        <v>0.29028900000000002</v>
      </c>
      <c r="J48" s="8">
        <v>0.1219527</v>
      </c>
      <c r="K48" s="8">
        <v>0.12424715</v>
      </c>
      <c r="M48" s="32">
        <v>0.32178570000000001</v>
      </c>
      <c r="N48" s="32">
        <v>0.4</v>
      </c>
      <c r="O48" s="32">
        <v>0.28571429999999998</v>
      </c>
      <c r="P48" s="32">
        <v>0.3333333</v>
      </c>
      <c r="Q48" s="32" t="s">
        <v>63</v>
      </c>
      <c r="R48" s="11"/>
    </row>
    <row r="49" spans="2:21" x14ac:dyDescent="0.2">
      <c r="B49" s="8">
        <v>8</v>
      </c>
      <c r="C49" s="8">
        <v>300</v>
      </c>
      <c r="D49" s="8">
        <v>0.37319020000000003</v>
      </c>
      <c r="E49" s="8">
        <v>0.75317460000000003</v>
      </c>
      <c r="F49" s="8">
        <v>0.2121429</v>
      </c>
      <c r="G49" s="8">
        <v>0.39007579999999997</v>
      </c>
      <c r="H49" s="8">
        <v>9.6000500000000002E-2</v>
      </c>
      <c r="I49" s="8">
        <v>0.28174159999999998</v>
      </c>
      <c r="J49" s="8">
        <v>0.1332642</v>
      </c>
      <c r="K49" s="8">
        <v>0.11474921</v>
      </c>
      <c r="M49" s="32">
        <v>0.31107679999999999</v>
      </c>
      <c r="N49" s="32" t="s">
        <v>134</v>
      </c>
      <c r="O49" s="32">
        <v>0</v>
      </c>
      <c r="P49" s="32" t="s">
        <v>134</v>
      </c>
      <c r="Q49" s="32" t="s">
        <v>40</v>
      </c>
      <c r="R49" s="11"/>
    </row>
    <row r="50" spans="2:21" x14ac:dyDescent="0.2">
      <c r="B50" s="8">
        <v>8</v>
      </c>
      <c r="C50" s="8">
        <v>500</v>
      </c>
      <c r="D50" s="8">
        <v>0.38135930000000001</v>
      </c>
      <c r="E50" s="8">
        <v>0.74621210000000004</v>
      </c>
      <c r="F50" s="8">
        <v>0.21142859999999999</v>
      </c>
      <c r="G50" s="8">
        <v>0.37109189999999997</v>
      </c>
      <c r="H50" s="8">
        <v>9.3445639999999996E-2</v>
      </c>
      <c r="I50" s="8">
        <v>0.27992499999999998</v>
      </c>
      <c r="J50" s="8">
        <v>0.12717909999999999</v>
      </c>
      <c r="K50" s="8">
        <v>0.12042176</v>
      </c>
      <c r="M50" s="32">
        <v>0.1754956</v>
      </c>
      <c r="N50" s="32">
        <v>0.5</v>
      </c>
      <c r="O50" s="32">
        <v>0.14285709999999999</v>
      </c>
      <c r="P50" s="32">
        <v>0.22222220000000001</v>
      </c>
      <c r="Q50" s="32" t="s">
        <v>60</v>
      </c>
      <c r="R50" s="11"/>
    </row>
    <row r="51" spans="2:21" x14ac:dyDescent="0.2">
      <c r="B51" s="8">
        <v>8</v>
      </c>
      <c r="C51" s="8">
        <v>700</v>
      </c>
      <c r="D51" s="8">
        <v>0.38329469999999999</v>
      </c>
      <c r="E51" s="8">
        <v>0.76136360000000003</v>
      </c>
      <c r="F51" s="8">
        <v>0.2171429</v>
      </c>
      <c r="G51" s="8">
        <v>0.38246750000000002</v>
      </c>
      <c r="H51" s="8">
        <v>9.2794719999999997E-2</v>
      </c>
      <c r="I51" s="8">
        <v>0.28439979999999998</v>
      </c>
      <c r="J51" s="8">
        <v>0.12717909999999999</v>
      </c>
      <c r="K51" s="8">
        <v>0.11886395</v>
      </c>
      <c r="M51" s="32">
        <v>0.29859239999999998</v>
      </c>
      <c r="N51" s="32">
        <v>1</v>
      </c>
      <c r="O51" s="32">
        <v>0.14285709999999999</v>
      </c>
      <c r="P51" s="32">
        <v>0.25</v>
      </c>
      <c r="Q51" s="32" t="s">
        <v>57</v>
      </c>
      <c r="R51" s="11"/>
    </row>
    <row r="52" spans="2:21" x14ac:dyDescent="0.2">
      <c r="B52" s="8">
        <v>8</v>
      </c>
      <c r="C52" s="8">
        <v>900</v>
      </c>
      <c r="D52" s="8">
        <v>0.38175179999999997</v>
      </c>
      <c r="E52" s="8">
        <v>0.76893940000000005</v>
      </c>
      <c r="F52" s="8">
        <v>0.21142859999999999</v>
      </c>
      <c r="G52" s="8">
        <v>0.37493989999999999</v>
      </c>
      <c r="H52" s="8">
        <v>9.6837500000000007E-2</v>
      </c>
      <c r="I52" s="8">
        <v>0.27927980000000002</v>
      </c>
      <c r="J52" s="8">
        <v>0.12717909999999999</v>
      </c>
      <c r="K52" s="8">
        <v>0.12145824</v>
      </c>
      <c r="M52" s="32">
        <v>0.27359020000000001</v>
      </c>
      <c r="N52" s="32" t="s">
        <v>134</v>
      </c>
      <c r="O52" s="32">
        <v>0</v>
      </c>
      <c r="P52" s="32" t="s">
        <v>134</v>
      </c>
      <c r="Q52" s="32" t="s">
        <v>47</v>
      </c>
      <c r="R52" s="11"/>
    </row>
    <row r="53" spans="2:21" x14ac:dyDescent="0.2">
      <c r="B53" s="8">
        <v>8</v>
      </c>
      <c r="C53" s="8">
        <v>1100</v>
      </c>
      <c r="D53" s="8">
        <v>0.37884240000000002</v>
      </c>
      <c r="E53" s="8">
        <v>0.71825399999999995</v>
      </c>
      <c r="F53" s="8">
        <v>0.20642859999999999</v>
      </c>
      <c r="G53" s="8">
        <v>0.37631310000000001</v>
      </c>
      <c r="H53" s="8">
        <v>9.2281840000000004E-2</v>
      </c>
      <c r="I53" s="8">
        <v>0.2744644</v>
      </c>
      <c r="J53" s="8">
        <v>0.13304070000000001</v>
      </c>
      <c r="K53" s="8">
        <v>0.11760229</v>
      </c>
      <c r="M53" s="32">
        <v>0.4447392</v>
      </c>
      <c r="N53" s="32">
        <v>0.75</v>
      </c>
      <c r="O53" s="32">
        <v>0.42857139999999999</v>
      </c>
      <c r="P53" s="32">
        <v>0.54545449999999995</v>
      </c>
      <c r="Q53" s="32" t="s">
        <v>61</v>
      </c>
      <c r="R53" s="11"/>
    </row>
    <row r="54" spans="2:21" x14ac:dyDescent="0.2">
      <c r="B54" s="8">
        <v>8</v>
      </c>
      <c r="C54" s="8">
        <v>1300</v>
      </c>
      <c r="D54" s="8">
        <v>0.37949430000000001</v>
      </c>
      <c r="E54" s="8">
        <v>0.75378789999999996</v>
      </c>
      <c r="F54" s="8">
        <v>0.2171429</v>
      </c>
      <c r="G54" s="8">
        <v>0.3820827</v>
      </c>
      <c r="H54" s="8">
        <v>8.9985839999999997E-2</v>
      </c>
      <c r="I54" s="8">
        <v>0.27515899999999999</v>
      </c>
      <c r="J54" s="8">
        <v>0.12717909999999999</v>
      </c>
      <c r="K54" s="8">
        <v>0.11810772</v>
      </c>
      <c r="M54" s="32">
        <v>0.33964499999999997</v>
      </c>
      <c r="N54" s="32">
        <v>1</v>
      </c>
      <c r="O54" s="32">
        <v>0.28571429999999998</v>
      </c>
      <c r="P54" s="32">
        <v>0.44444440000000002</v>
      </c>
      <c r="Q54" s="32" t="s">
        <v>58</v>
      </c>
      <c r="R54" s="11"/>
      <c r="S54" s="2"/>
      <c r="T54" s="8"/>
      <c r="U54" s="8"/>
    </row>
    <row r="55" spans="2:21" x14ac:dyDescent="0.2">
      <c r="B55" s="8">
        <v>9</v>
      </c>
      <c r="C55" s="8">
        <v>100</v>
      </c>
      <c r="D55" s="8">
        <v>0.35906719999999998</v>
      </c>
      <c r="E55" s="8">
        <v>0.74206349999999999</v>
      </c>
      <c r="F55" s="8">
        <v>0.2178571</v>
      </c>
      <c r="G55" s="8">
        <v>0.37823469999999998</v>
      </c>
      <c r="H55" s="8">
        <v>9.9986690000000003E-2</v>
      </c>
      <c r="I55" s="8">
        <v>0.22654530000000001</v>
      </c>
      <c r="J55" s="8">
        <v>0.1266893</v>
      </c>
      <c r="K55" s="8">
        <v>0.1172879</v>
      </c>
      <c r="M55" s="32">
        <v>0.40028560000000002</v>
      </c>
      <c r="N55" s="32">
        <v>0.66666669999999995</v>
      </c>
      <c r="O55" s="32">
        <v>0.28571429999999998</v>
      </c>
      <c r="P55" s="32">
        <v>0.4</v>
      </c>
      <c r="Q55" s="32" t="s">
        <v>44</v>
      </c>
      <c r="R55" s="11"/>
      <c r="S55" s="2"/>
      <c r="T55" s="8"/>
      <c r="U55" s="8"/>
    </row>
    <row r="56" spans="2:21" x14ac:dyDescent="0.2">
      <c r="B56" s="8">
        <v>9</v>
      </c>
      <c r="C56" s="8">
        <v>300</v>
      </c>
      <c r="D56" s="8">
        <v>0.38001839999999998</v>
      </c>
      <c r="E56" s="8">
        <v>0.75303030000000004</v>
      </c>
      <c r="F56" s="8">
        <v>0.20571429999999999</v>
      </c>
      <c r="G56" s="8">
        <v>0.3644541</v>
      </c>
      <c r="H56" s="8">
        <v>9.4446349999999998E-2</v>
      </c>
      <c r="I56" s="8">
        <v>0.2901667</v>
      </c>
      <c r="J56" s="8">
        <v>0.1200243</v>
      </c>
      <c r="K56" s="8">
        <v>0.11438669</v>
      </c>
      <c r="M56" s="32">
        <v>0.32669520000000002</v>
      </c>
      <c r="N56" s="32" t="s">
        <v>134</v>
      </c>
      <c r="O56" s="32">
        <v>0</v>
      </c>
      <c r="P56" s="32" t="s">
        <v>134</v>
      </c>
      <c r="Q56" s="32" t="s">
        <v>48</v>
      </c>
      <c r="R56" s="11"/>
      <c r="S56" s="2"/>
      <c r="T56" s="35"/>
      <c r="U56" s="8"/>
    </row>
    <row r="57" spans="2:21" x14ac:dyDescent="0.2">
      <c r="B57" s="8">
        <v>9</v>
      </c>
      <c r="C57" s="8">
        <v>500</v>
      </c>
      <c r="D57" s="8">
        <v>0.37499090000000002</v>
      </c>
      <c r="E57" s="8">
        <v>0.72727269999999999</v>
      </c>
      <c r="F57" s="8">
        <v>0.20571429999999999</v>
      </c>
      <c r="G57" s="8">
        <v>0.35885040000000001</v>
      </c>
      <c r="H57" s="8">
        <v>9.846452E-2</v>
      </c>
      <c r="I57" s="8">
        <v>0.26375120000000002</v>
      </c>
      <c r="J57" s="8">
        <v>0.12691140000000001</v>
      </c>
      <c r="K57" s="8">
        <v>0.11627603</v>
      </c>
      <c r="M57" s="32">
        <v>0.3293411</v>
      </c>
      <c r="N57" s="32">
        <v>0.66666669999999995</v>
      </c>
      <c r="O57" s="32">
        <v>0.28571429999999998</v>
      </c>
      <c r="P57" s="32">
        <v>0.4</v>
      </c>
      <c r="Q57" s="32" t="s">
        <v>50</v>
      </c>
      <c r="R57" s="11"/>
      <c r="S57" s="2"/>
    </row>
    <row r="58" spans="2:21" x14ac:dyDescent="0.2">
      <c r="B58" s="8">
        <v>9</v>
      </c>
      <c r="C58" s="8">
        <v>700</v>
      </c>
      <c r="D58" s="8">
        <v>0.37117509999999998</v>
      </c>
      <c r="E58" s="8">
        <v>0.76136360000000003</v>
      </c>
      <c r="F58" s="8">
        <v>0.2171429</v>
      </c>
      <c r="G58" s="8">
        <v>0.3820827</v>
      </c>
      <c r="H58" s="8">
        <v>9.3841010000000002E-2</v>
      </c>
      <c r="I58" s="8">
        <v>0.28439979999999998</v>
      </c>
      <c r="J58" s="8">
        <v>0.12717909999999999</v>
      </c>
      <c r="K58" s="8">
        <v>0.11810772</v>
      </c>
      <c r="L58" s="10"/>
      <c r="M58" s="32">
        <v>0.46883910000000001</v>
      </c>
      <c r="N58" s="32">
        <v>1</v>
      </c>
      <c r="O58" s="32">
        <v>0.28571429999999998</v>
      </c>
      <c r="P58" s="32">
        <v>0.44444440000000002</v>
      </c>
      <c r="Q58" s="32" t="s">
        <v>59</v>
      </c>
      <c r="R58" s="11"/>
      <c r="S58" s="2"/>
    </row>
    <row r="59" spans="2:21" x14ac:dyDescent="0.2">
      <c r="B59" s="8">
        <v>9</v>
      </c>
      <c r="C59" s="8">
        <v>900</v>
      </c>
      <c r="D59" s="8">
        <v>0.378191</v>
      </c>
      <c r="E59" s="8">
        <v>0.75378789999999996</v>
      </c>
      <c r="F59" s="8">
        <v>0.2171429</v>
      </c>
      <c r="G59" s="8">
        <v>0.3820827</v>
      </c>
      <c r="H59" s="8">
        <v>9.2830049999999997E-2</v>
      </c>
      <c r="I59" s="8">
        <v>0.27515899999999999</v>
      </c>
      <c r="J59" s="8">
        <v>0.12717909999999999</v>
      </c>
      <c r="K59" s="8">
        <v>0.11810772</v>
      </c>
      <c r="L59" s="10"/>
      <c r="M59" s="32">
        <v>0.45707530000000002</v>
      </c>
      <c r="N59" s="32">
        <v>1</v>
      </c>
      <c r="O59" s="32">
        <v>0.28571429999999998</v>
      </c>
      <c r="P59" s="32">
        <v>0.44444440000000002</v>
      </c>
      <c r="Q59" s="32" t="s">
        <v>54</v>
      </c>
      <c r="R59" s="11"/>
      <c r="S59" s="2"/>
    </row>
    <row r="60" spans="2:21" x14ac:dyDescent="0.2">
      <c r="B60" s="8">
        <v>9</v>
      </c>
      <c r="C60" s="8">
        <v>1100</v>
      </c>
      <c r="D60" s="8">
        <v>0.37949870000000002</v>
      </c>
      <c r="E60" s="8">
        <v>0.73863639999999997</v>
      </c>
      <c r="F60" s="8">
        <v>0.2171429</v>
      </c>
      <c r="G60" s="8">
        <v>0.3786195</v>
      </c>
      <c r="H60" s="8">
        <v>9.5741919999999994E-2</v>
      </c>
      <c r="I60" s="8">
        <v>0.28439979999999998</v>
      </c>
      <c r="J60" s="8">
        <v>0.12717909999999999</v>
      </c>
      <c r="K60" s="8">
        <v>0.11806255</v>
      </c>
      <c r="L60" s="5"/>
      <c r="M60" s="32">
        <v>0.30161520000000003</v>
      </c>
      <c r="N60" s="32">
        <v>0.5</v>
      </c>
      <c r="O60" s="32">
        <v>0.14285709999999999</v>
      </c>
      <c r="P60" s="32">
        <v>0.22222220000000001</v>
      </c>
      <c r="Q60" s="32" t="s">
        <v>46</v>
      </c>
      <c r="R60" s="11"/>
      <c r="S60" s="2"/>
    </row>
    <row r="61" spans="2:21" x14ac:dyDescent="0.2">
      <c r="B61" s="8">
        <v>9</v>
      </c>
      <c r="C61" s="8">
        <v>1300</v>
      </c>
      <c r="D61" s="8">
        <v>0.37753249999999999</v>
      </c>
      <c r="E61" s="8">
        <v>0.75378789999999996</v>
      </c>
      <c r="F61" s="8">
        <v>0.21142859999999999</v>
      </c>
      <c r="G61" s="8">
        <v>0.37282349999999997</v>
      </c>
      <c r="H61" s="8">
        <v>9.6585779999999996E-2</v>
      </c>
      <c r="I61" s="8">
        <v>0.27515899999999999</v>
      </c>
      <c r="J61" s="8">
        <v>0.12717909999999999</v>
      </c>
      <c r="K61" s="8">
        <v>0.12057055</v>
      </c>
      <c r="M61" s="32">
        <v>0.42653279999999999</v>
      </c>
      <c r="N61" s="32">
        <v>0.5</v>
      </c>
      <c r="O61" s="32">
        <v>0.14285709999999999</v>
      </c>
      <c r="P61" s="32">
        <v>0.22222220000000001</v>
      </c>
      <c r="Q61" s="32" t="s">
        <v>42</v>
      </c>
      <c r="R61" s="11"/>
      <c r="S61" s="2"/>
    </row>
    <row r="62" spans="2:21" x14ac:dyDescent="0.2">
      <c r="B62" s="8">
        <v>10</v>
      </c>
      <c r="C62" s="8">
        <v>100</v>
      </c>
      <c r="D62" s="8">
        <v>0.36511500000000002</v>
      </c>
      <c r="E62" s="8">
        <v>0.74621210000000004</v>
      </c>
      <c r="F62" s="8">
        <v>0.21285709999999999</v>
      </c>
      <c r="G62" s="8">
        <v>0.35596879999999997</v>
      </c>
      <c r="H62" s="8">
        <v>9.5420459999999999E-2</v>
      </c>
      <c r="I62" s="8">
        <v>0.23915259999999999</v>
      </c>
      <c r="J62" s="8">
        <v>0.1242452</v>
      </c>
      <c r="K62" s="8">
        <v>0.13041554999999999</v>
      </c>
      <c r="M62" s="32">
        <v>0.43475039999999998</v>
      </c>
      <c r="N62" s="32">
        <v>1</v>
      </c>
      <c r="O62" s="32">
        <v>0.28571429999999998</v>
      </c>
      <c r="P62" s="32">
        <v>0.44444440000000002</v>
      </c>
      <c r="Q62" s="32" t="s">
        <v>62</v>
      </c>
      <c r="R62" s="11"/>
      <c r="S62" s="10"/>
      <c r="T62" s="2"/>
    </row>
    <row r="63" spans="2:21" x14ac:dyDescent="0.2">
      <c r="B63" s="8">
        <v>10</v>
      </c>
      <c r="C63" s="8">
        <v>300</v>
      </c>
      <c r="D63" s="8">
        <v>0.36842130000000001</v>
      </c>
      <c r="E63" s="8">
        <v>0.74285710000000005</v>
      </c>
      <c r="F63" s="8">
        <v>0.20642859999999999</v>
      </c>
      <c r="G63" s="8">
        <v>0.37808079999999999</v>
      </c>
      <c r="H63" s="8">
        <v>9.8710790000000007E-2</v>
      </c>
      <c r="I63" s="8">
        <v>0.28812480000000001</v>
      </c>
      <c r="J63" s="8">
        <v>0.13304070000000001</v>
      </c>
      <c r="K63" s="8">
        <v>0.11559548</v>
      </c>
      <c r="M63" s="32">
        <v>0.37150030000000001</v>
      </c>
      <c r="N63" s="32">
        <v>0.5</v>
      </c>
      <c r="O63" s="32">
        <v>0.14285709999999999</v>
      </c>
      <c r="P63" s="32">
        <v>0.22222220000000001</v>
      </c>
      <c r="Q63" s="32" t="s">
        <v>56</v>
      </c>
      <c r="R63" s="11"/>
      <c r="S63" s="10"/>
      <c r="T63" s="2"/>
    </row>
    <row r="64" spans="2:21" x14ac:dyDescent="0.2">
      <c r="B64" s="8">
        <v>10</v>
      </c>
      <c r="C64" s="8">
        <v>500</v>
      </c>
      <c r="D64" s="8">
        <v>0.3729595</v>
      </c>
      <c r="E64" s="8">
        <v>0.76136360000000003</v>
      </c>
      <c r="F64" s="8">
        <v>0.2171429</v>
      </c>
      <c r="G64" s="8">
        <v>0.38246750000000002</v>
      </c>
      <c r="H64" s="8">
        <v>9.5330949999999998E-2</v>
      </c>
      <c r="I64" s="8">
        <v>0.28439979999999998</v>
      </c>
      <c r="J64" s="8">
        <v>0.12717909999999999</v>
      </c>
      <c r="K64" s="8">
        <v>0.11886395</v>
      </c>
      <c r="M64" s="32">
        <v>0.47942220000000002</v>
      </c>
      <c r="N64" s="32">
        <v>1</v>
      </c>
      <c r="O64" s="32">
        <v>0.28571429999999998</v>
      </c>
      <c r="P64" s="32">
        <v>0.44444440000000002</v>
      </c>
      <c r="Q64" s="32" t="s">
        <v>49</v>
      </c>
      <c r="R64" s="11"/>
      <c r="S64" s="5"/>
      <c r="T64" s="2"/>
    </row>
    <row r="65" spans="2:20" x14ac:dyDescent="0.2">
      <c r="B65" s="8">
        <v>10</v>
      </c>
      <c r="C65" s="8">
        <v>700</v>
      </c>
      <c r="D65" s="8">
        <v>0.36994369999999999</v>
      </c>
      <c r="E65" s="8">
        <v>0.74166670000000001</v>
      </c>
      <c r="F65" s="8">
        <v>0.2171429</v>
      </c>
      <c r="G65" s="8">
        <v>0.37890810000000003</v>
      </c>
      <c r="H65" s="8">
        <v>9.5825309999999997E-2</v>
      </c>
      <c r="I65" s="8">
        <v>0.28488140000000001</v>
      </c>
      <c r="J65" s="8">
        <v>0.12717909999999999</v>
      </c>
      <c r="K65" s="8">
        <v>0.11849737</v>
      </c>
      <c r="M65" s="32">
        <v>0.37195050000000002</v>
      </c>
      <c r="N65" s="32">
        <v>1</v>
      </c>
      <c r="O65" s="32">
        <v>0.28571429999999998</v>
      </c>
      <c r="P65" s="32">
        <v>0.44444440000000002</v>
      </c>
      <c r="Q65" s="32" t="s">
        <v>45</v>
      </c>
      <c r="R65" s="11"/>
      <c r="S65" s="5"/>
      <c r="T65" s="2"/>
    </row>
    <row r="66" spans="2:20" x14ac:dyDescent="0.2">
      <c r="B66" s="8">
        <v>10</v>
      </c>
      <c r="C66" s="8">
        <v>900</v>
      </c>
      <c r="D66" s="8">
        <v>0.37003770000000002</v>
      </c>
      <c r="E66" s="8">
        <v>0.74621210000000004</v>
      </c>
      <c r="F66" s="8">
        <v>0.21142859999999999</v>
      </c>
      <c r="G66" s="8">
        <v>0.37109189999999997</v>
      </c>
      <c r="H66" s="8">
        <v>9.1480740000000005E-2</v>
      </c>
      <c r="I66" s="8">
        <v>0.27992499999999998</v>
      </c>
      <c r="J66" s="8">
        <v>0.12717909999999999</v>
      </c>
      <c r="K66" s="8">
        <v>0.12042176</v>
      </c>
      <c r="M66" s="32">
        <v>0.31406889999999998</v>
      </c>
      <c r="N66" s="32">
        <v>0</v>
      </c>
      <c r="O66" s="32">
        <v>0</v>
      </c>
      <c r="P66" s="32" t="s">
        <v>113</v>
      </c>
      <c r="Q66" s="32" t="s">
        <v>43</v>
      </c>
      <c r="R66" s="11"/>
      <c r="T66" s="2"/>
    </row>
    <row r="67" spans="2:20" x14ac:dyDescent="0.2">
      <c r="B67" s="8">
        <v>10</v>
      </c>
      <c r="C67" s="8">
        <v>1100</v>
      </c>
      <c r="D67" s="8">
        <v>0.37532009999999999</v>
      </c>
      <c r="E67" s="8">
        <v>0.75378789999999996</v>
      </c>
      <c r="F67" s="8">
        <v>0.2171429</v>
      </c>
      <c r="G67" s="8">
        <v>0.3820827</v>
      </c>
      <c r="H67" s="8">
        <v>9.1656609999999999E-2</v>
      </c>
      <c r="I67" s="8">
        <v>0.27515899999999999</v>
      </c>
      <c r="J67" s="8">
        <v>0.12717909999999999</v>
      </c>
      <c r="K67" s="8">
        <v>0.11810772</v>
      </c>
      <c r="M67" s="32">
        <v>0.57308630000000005</v>
      </c>
      <c r="N67" s="32">
        <v>0.66666669999999995</v>
      </c>
      <c r="O67" s="32">
        <v>0.25</v>
      </c>
      <c r="P67" s="32">
        <v>0.36363640000000003</v>
      </c>
      <c r="Q67" s="32" t="s">
        <v>52</v>
      </c>
      <c r="R67" s="11"/>
      <c r="T67" s="2"/>
    </row>
    <row r="68" spans="2:20" x14ac:dyDescent="0.2">
      <c r="B68" s="8">
        <v>10</v>
      </c>
      <c r="C68" s="8">
        <v>1300</v>
      </c>
      <c r="D68" s="8">
        <v>0.37043310000000002</v>
      </c>
      <c r="E68" s="8">
        <v>0.73863639999999997</v>
      </c>
      <c r="F68" s="8">
        <v>0.21142859999999999</v>
      </c>
      <c r="G68" s="8">
        <v>0.36936029999999997</v>
      </c>
      <c r="H68" s="8">
        <v>9.8811369999999996E-2</v>
      </c>
      <c r="I68" s="8">
        <v>0.28439979999999998</v>
      </c>
      <c r="J68" s="8">
        <v>0.12717909999999999</v>
      </c>
      <c r="K68" s="8">
        <v>0.12024661</v>
      </c>
      <c r="M68" s="32">
        <v>0.456951</v>
      </c>
      <c r="N68" s="32">
        <v>1</v>
      </c>
      <c r="O68" s="32">
        <v>0.28571429999999998</v>
      </c>
      <c r="P68" s="32">
        <v>0.44444440000000002</v>
      </c>
      <c r="Q68" s="32" t="s">
        <v>55</v>
      </c>
      <c r="R68" s="11"/>
      <c r="T68" s="2"/>
    </row>
    <row r="69" spans="2:20" x14ac:dyDescent="0.2">
      <c r="K69" s="10"/>
      <c r="M69" s="32">
        <v>0.4494494</v>
      </c>
      <c r="N69" s="32">
        <v>1</v>
      </c>
      <c r="O69" s="32">
        <v>0.375</v>
      </c>
      <c r="P69" s="32">
        <v>0.54545449999999995</v>
      </c>
      <c r="Q69" s="32" t="s">
        <v>39</v>
      </c>
      <c r="R69" s="11"/>
      <c r="T69" s="2"/>
    </row>
    <row r="70" spans="2:20" x14ac:dyDescent="0.2">
      <c r="M70" s="32">
        <v>0.17611769999999999</v>
      </c>
      <c r="N70" s="32" t="s">
        <v>134</v>
      </c>
      <c r="O70" s="32">
        <v>0</v>
      </c>
      <c r="P70" s="32" t="s">
        <v>134</v>
      </c>
      <c r="Q70" s="32" t="s">
        <v>41</v>
      </c>
      <c r="R70" s="11"/>
      <c r="T70" s="2"/>
    </row>
    <row r="72" spans="2:20" x14ac:dyDescent="0.2">
      <c r="B72" s="2"/>
      <c r="M72" s="2"/>
    </row>
    <row r="73" spans="2:20" x14ac:dyDescent="0.2">
      <c r="B73" s="2"/>
      <c r="M73" s="2"/>
    </row>
    <row r="74" spans="2:20" x14ac:dyDescent="0.2">
      <c r="B74" s="2"/>
      <c r="M74" s="2"/>
    </row>
    <row r="75" spans="2:20" x14ac:dyDescent="0.2">
      <c r="B75" s="2"/>
      <c r="M75" s="2"/>
    </row>
    <row r="76" spans="2:20" x14ac:dyDescent="0.2">
      <c r="B76" s="2"/>
      <c r="M76" s="2"/>
    </row>
    <row r="77" spans="2:20" x14ac:dyDescent="0.2">
      <c r="B77" s="2"/>
      <c r="M77" s="2"/>
    </row>
    <row r="78" spans="2:20" x14ac:dyDescent="0.2">
      <c r="B78" s="2"/>
      <c r="M78" s="2"/>
    </row>
    <row r="79" spans="2:20" x14ac:dyDescent="0.2">
      <c r="B79" s="2"/>
      <c r="M79" s="2"/>
    </row>
    <row r="80" spans="2:20" x14ac:dyDescent="0.2">
      <c r="B80" s="2"/>
      <c r="M80" s="2"/>
    </row>
    <row r="81" spans="2:18" x14ac:dyDescent="0.2">
      <c r="B81" s="2"/>
      <c r="M81" s="2"/>
    </row>
    <row r="82" spans="2:18" x14ac:dyDescent="0.2">
      <c r="B82" s="2"/>
      <c r="M82" s="2"/>
      <c r="N82" s="3"/>
      <c r="O82" s="3"/>
      <c r="P82" s="3"/>
      <c r="Q82" s="3"/>
      <c r="R82" s="3"/>
    </row>
    <row r="83" spans="2:18" x14ac:dyDescent="0.2">
      <c r="B83" s="2"/>
      <c r="M83" s="2"/>
      <c r="N83" s="3"/>
      <c r="O83" s="3"/>
      <c r="P83" s="3"/>
      <c r="Q83" s="3"/>
      <c r="R83" s="3"/>
    </row>
    <row r="84" spans="2:18" x14ac:dyDescent="0.2">
      <c r="B84" s="2"/>
      <c r="M84" s="2"/>
      <c r="N84" s="3"/>
      <c r="O84" s="3"/>
      <c r="P84" s="3"/>
      <c r="Q84" s="3"/>
      <c r="R84" s="3"/>
    </row>
    <row r="85" spans="2:18" x14ac:dyDescent="0.2">
      <c r="B85" s="2"/>
      <c r="M85" s="2"/>
      <c r="N85" s="3"/>
      <c r="O85" s="3"/>
      <c r="P85" s="3"/>
      <c r="Q85" s="3"/>
      <c r="R85" s="3"/>
    </row>
    <row r="86" spans="2:18" x14ac:dyDescent="0.2">
      <c r="B86" s="2"/>
    </row>
    <row r="87" spans="2:18" x14ac:dyDescent="0.2">
      <c r="B87" s="2"/>
    </row>
    <row r="88" spans="2:18" x14ac:dyDescent="0.2">
      <c r="B88" s="2"/>
    </row>
    <row r="89" spans="2:18" x14ac:dyDescent="0.2">
      <c r="B89" s="2"/>
    </row>
    <row r="90" spans="2:18" x14ac:dyDescent="0.2">
      <c r="B90" s="2"/>
    </row>
    <row r="91" spans="2:18" x14ac:dyDescent="0.2">
      <c r="B91" s="2"/>
    </row>
    <row r="92" spans="2:18" x14ac:dyDescent="0.2">
      <c r="B92" s="2"/>
    </row>
    <row r="93" spans="2:18" x14ac:dyDescent="0.2">
      <c r="B93" s="2"/>
    </row>
    <row r="94" spans="2:18" x14ac:dyDescent="0.2">
      <c r="B94" s="2"/>
    </row>
    <row r="95" spans="2:18" x14ac:dyDescent="0.2">
      <c r="B95" s="2"/>
    </row>
    <row r="96" spans="2:18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</sheetData>
  <mergeCells count="12">
    <mergeCell ref="Y4:Y5"/>
    <mergeCell ref="M9:N9"/>
    <mergeCell ref="M19:O19"/>
    <mergeCell ref="M24:N24"/>
    <mergeCell ref="M44:Q44"/>
    <mergeCell ref="B2:U2"/>
    <mergeCell ref="B4:K4"/>
    <mergeCell ref="M4:O4"/>
    <mergeCell ref="S4:T4"/>
    <mergeCell ref="O39:O40"/>
    <mergeCell ref="M34:O34"/>
    <mergeCell ref="Q29:R29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1AAA-C669-47B6-8411-4F9DCB68C5A3}">
  <dimension ref="B1:H64"/>
  <sheetViews>
    <sheetView zoomScale="75" workbookViewId="0">
      <selection activeCell="C45" sqref="C45"/>
    </sheetView>
  </sheetViews>
  <sheetFormatPr baseColWidth="10" defaultColWidth="11" defaultRowHeight="16" x14ac:dyDescent="0.2"/>
  <cols>
    <col min="1" max="1" width="1.6640625" customWidth="1"/>
    <col min="2" max="2" width="27.33203125" bestFit="1" customWidth="1"/>
    <col min="3" max="3" width="27.33203125" customWidth="1"/>
    <col min="4" max="4" width="27.33203125" bestFit="1" customWidth="1"/>
    <col min="5" max="5" width="24.5" customWidth="1"/>
    <col min="6" max="6" width="1.6640625" customWidth="1"/>
  </cols>
  <sheetData>
    <row r="1" spans="2:8" x14ac:dyDescent="0.2">
      <c r="B1" s="5"/>
      <c r="C1" s="5"/>
      <c r="D1" s="5"/>
      <c r="E1" s="5"/>
      <c r="F1" s="5"/>
    </row>
    <row r="2" spans="2:8" x14ac:dyDescent="0.2">
      <c r="B2" s="53" t="s">
        <v>179</v>
      </c>
      <c r="C2" s="53"/>
      <c r="D2" s="53"/>
      <c r="E2" s="53"/>
    </row>
    <row r="3" spans="2:8" x14ac:dyDescent="0.2">
      <c r="B3" s="6"/>
      <c r="C3" s="6"/>
      <c r="D3" s="6"/>
      <c r="E3" s="6"/>
      <c r="F3" s="6"/>
    </row>
    <row r="4" spans="2:8" x14ac:dyDescent="0.2">
      <c r="B4" s="47" t="s">
        <v>190</v>
      </c>
      <c r="C4" s="47" t="s">
        <v>145</v>
      </c>
      <c r="D4" s="5" t="s">
        <v>182</v>
      </c>
      <c r="E4" s="5">
        <v>0.6875</v>
      </c>
      <c r="F4" s="5"/>
      <c r="G4" s="8"/>
      <c r="H4" s="8"/>
    </row>
    <row r="5" spans="2:8" x14ac:dyDescent="0.2">
      <c r="D5" s="5" t="s">
        <v>183</v>
      </c>
      <c r="E5" s="5">
        <v>0.85209999999999997</v>
      </c>
    </row>
    <row r="6" spans="2:8" x14ac:dyDescent="0.2">
      <c r="D6" s="5" t="s">
        <v>180</v>
      </c>
      <c r="E6" s="5" t="s">
        <v>189</v>
      </c>
    </row>
    <row r="7" spans="2:8" x14ac:dyDescent="0.2">
      <c r="D7" s="5" t="s">
        <v>181</v>
      </c>
      <c r="E7" s="5">
        <v>0.96640000000000004</v>
      </c>
    </row>
    <row r="8" spans="2:8" x14ac:dyDescent="0.2">
      <c r="D8" s="5" t="s">
        <v>184</v>
      </c>
      <c r="E8" s="5">
        <v>0.83779999999999999</v>
      </c>
    </row>
    <row r="9" spans="2:8" x14ac:dyDescent="0.2">
      <c r="D9" s="5" t="s">
        <v>185</v>
      </c>
      <c r="E9" s="5">
        <v>0.42309999999999998</v>
      </c>
    </row>
    <row r="10" spans="2:8" x14ac:dyDescent="0.2">
      <c r="D10" s="5" t="s">
        <v>28</v>
      </c>
      <c r="E10" s="5">
        <v>0.3831</v>
      </c>
    </row>
    <row r="11" spans="2:8" x14ac:dyDescent="0.2">
      <c r="D11" s="5" t="s">
        <v>186</v>
      </c>
      <c r="E11" s="5">
        <v>0.76980000000000004</v>
      </c>
    </row>
    <row r="12" spans="2:8" x14ac:dyDescent="0.2">
      <c r="C12" s="47" t="s">
        <v>143</v>
      </c>
      <c r="D12" s="5" t="s">
        <v>182</v>
      </c>
      <c r="E12" s="5">
        <v>0.63160000000000005</v>
      </c>
    </row>
    <row r="13" spans="2:8" x14ac:dyDescent="0.2">
      <c r="C13" s="5"/>
      <c r="D13" s="5" t="s">
        <v>183</v>
      </c>
      <c r="E13" s="5">
        <v>0.85540000000000005</v>
      </c>
    </row>
    <row r="14" spans="2:8" x14ac:dyDescent="0.2">
      <c r="C14" s="5"/>
      <c r="D14" s="5" t="s">
        <v>180</v>
      </c>
      <c r="E14" s="5">
        <v>0.33329999999999999</v>
      </c>
    </row>
    <row r="15" spans="2:8" x14ac:dyDescent="0.2">
      <c r="C15" s="5"/>
      <c r="D15" s="5" t="s">
        <v>181</v>
      </c>
      <c r="E15" s="5">
        <v>0.95299999999999996</v>
      </c>
    </row>
    <row r="16" spans="2:8" x14ac:dyDescent="0.2">
      <c r="C16" s="5"/>
      <c r="D16" s="5" t="s">
        <v>184</v>
      </c>
      <c r="E16" s="5">
        <v>0.83240000000000003</v>
      </c>
    </row>
    <row r="17" spans="2:5" x14ac:dyDescent="0.2">
      <c r="C17" s="5"/>
      <c r="D17" s="5" t="s">
        <v>185</v>
      </c>
      <c r="E17" s="5">
        <v>0.43640000000000001</v>
      </c>
    </row>
    <row r="18" spans="2:5" x14ac:dyDescent="0.2">
      <c r="C18" s="5"/>
      <c r="D18" s="5" t="s">
        <v>28</v>
      </c>
      <c r="E18" s="5">
        <v>0.37340000000000001</v>
      </c>
    </row>
    <row r="19" spans="2:5" x14ac:dyDescent="0.2">
      <c r="C19" s="5"/>
      <c r="D19" s="5" t="s">
        <v>186</v>
      </c>
      <c r="E19" s="5">
        <v>0.74350000000000005</v>
      </c>
    </row>
    <row r="20" spans="2:5" x14ac:dyDescent="0.2">
      <c r="B20" s="47" t="s">
        <v>178</v>
      </c>
      <c r="C20" s="47" t="s">
        <v>145</v>
      </c>
      <c r="D20" s="5" t="s">
        <v>182</v>
      </c>
      <c r="E20" s="5">
        <f>IF('RF-W4'!N25="","",'RF-W4'!N25)</f>
        <v>0.22222</v>
      </c>
    </row>
    <row r="21" spans="2:5" x14ac:dyDescent="0.2">
      <c r="B21" s="5"/>
      <c r="D21" s="5" t="s">
        <v>183</v>
      </c>
      <c r="E21" s="5">
        <f>IF('RF-W4'!N26="","",'RF-W4'!N26)</f>
        <v>1</v>
      </c>
    </row>
    <row r="22" spans="2:5" x14ac:dyDescent="0.2">
      <c r="B22" s="5"/>
      <c r="D22" s="5" t="s">
        <v>180</v>
      </c>
      <c r="E22" s="5">
        <f>IF('RF-W4'!N27="","",'RF-W4'!N27)</f>
        <v>1</v>
      </c>
    </row>
    <row r="23" spans="2:5" x14ac:dyDescent="0.2">
      <c r="B23" s="5"/>
      <c r="D23" s="5" t="s">
        <v>181</v>
      </c>
      <c r="E23" s="5">
        <f>IF('RF-W4'!N28="","",'RF-W4'!N28)</f>
        <v>0.84089999999999998</v>
      </c>
    </row>
    <row r="24" spans="2:5" x14ac:dyDescent="0.2">
      <c r="B24" s="5"/>
      <c r="D24" s="5" t="s">
        <v>184</v>
      </c>
      <c r="E24" s="5">
        <f>IF('RF-W4'!N29="","",'RF-W4'!N29)</f>
        <v>0.8478</v>
      </c>
    </row>
    <row r="25" spans="2:5" x14ac:dyDescent="0.2">
      <c r="B25" s="5"/>
      <c r="D25" s="5" t="s">
        <v>185</v>
      </c>
      <c r="E25" s="5">
        <f>IF('RF-W4'!N30="","",'RF-W4'!N30)</f>
        <v>0.36359999999999998</v>
      </c>
    </row>
    <row r="26" spans="2:5" x14ac:dyDescent="0.2">
      <c r="B26" s="5"/>
      <c r="D26" s="5" t="s">
        <v>28</v>
      </c>
      <c r="E26" s="5">
        <f>IF('RF-W4'!N31="","",'RF-W4'!N31)</f>
        <v>0.43230000000000002</v>
      </c>
    </row>
    <row r="27" spans="2:5" x14ac:dyDescent="0.2">
      <c r="B27" s="5"/>
      <c r="D27" s="5" t="s">
        <v>186</v>
      </c>
      <c r="E27" s="5">
        <f>IF('RF-W4'!N32="","",'RF-W4'!N32)</f>
        <v>0.61111000000000004</v>
      </c>
    </row>
    <row r="28" spans="2:5" x14ac:dyDescent="0.2">
      <c r="C28" s="47" t="s">
        <v>143</v>
      </c>
      <c r="D28" s="5" t="s">
        <v>182</v>
      </c>
      <c r="E28" s="5">
        <f>IF(RF!N25="","",RF!N25)</f>
        <v>0.22222</v>
      </c>
    </row>
    <row r="29" spans="2:5" x14ac:dyDescent="0.2">
      <c r="C29" s="5"/>
      <c r="D29" s="5" t="s">
        <v>183</v>
      </c>
      <c r="E29" s="5">
        <f>IF(RF!N26="","",RF!N26)</f>
        <v>0.97297</v>
      </c>
    </row>
    <row r="30" spans="2:5" x14ac:dyDescent="0.2">
      <c r="C30" s="5"/>
      <c r="D30" s="5" t="s">
        <v>180</v>
      </c>
      <c r="E30" s="5">
        <f>IF(RF!N27="","",RF!N27)</f>
        <v>0.66666999999999998</v>
      </c>
    </row>
    <row r="31" spans="2:5" x14ac:dyDescent="0.2">
      <c r="C31" s="5"/>
      <c r="D31" s="5" t="s">
        <v>181</v>
      </c>
      <c r="E31" s="5">
        <f>IF(RF!N28="","",RF!N28)</f>
        <v>0.83721000000000001</v>
      </c>
    </row>
    <row r="32" spans="2:5" x14ac:dyDescent="0.2">
      <c r="C32" s="5"/>
      <c r="D32" s="5" t="s">
        <v>184</v>
      </c>
      <c r="E32" s="5">
        <f>IF(RF!N29="","",RF!N29)</f>
        <v>0.82609999999999995</v>
      </c>
    </row>
    <row r="33" spans="2:5" x14ac:dyDescent="0.2">
      <c r="C33" s="5"/>
      <c r="D33" s="5" t="s">
        <v>185</v>
      </c>
      <c r="E33" s="5">
        <f>IF(RF!N30="","",RF!N30)</f>
        <v>0.33329999999999999</v>
      </c>
    </row>
    <row r="34" spans="2:5" x14ac:dyDescent="0.2">
      <c r="C34" s="5"/>
      <c r="D34" s="5" t="s">
        <v>28</v>
      </c>
      <c r="E34" s="5">
        <f>IF(RF!N31="","",RF!N31)</f>
        <v>0.31359999999999999</v>
      </c>
    </row>
    <row r="35" spans="2:5" x14ac:dyDescent="0.2">
      <c r="C35" s="5"/>
      <c r="D35" s="5" t="s">
        <v>186</v>
      </c>
      <c r="E35" s="5">
        <f>IF(RF!N32="","",RF!N32)</f>
        <v>0.59760000000000002</v>
      </c>
    </row>
    <row r="36" spans="2:5" x14ac:dyDescent="0.2">
      <c r="B36" t="s">
        <v>177</v>
      </c>
      <c r="C36" s="47" t="s">
        <v>145</v>
      </c>
      <c r="D36" s="5" t="s">
        <v>182</v>
      </c>
      <c r="E36" s="5">
        <f>IF('RF-W4'!N10="","",'RF-W4'!N10)</f>
        <v>1</v>
      </c>
    </row>
    <row r="37" spans="2:5" x14ac:dyDescent="0.2">
      <c r="D37" s="5" t="s">
        <v>183</v>
      </c>
      <c r="E37" s="5">
        <f>IF('RF-W4'!N11="","",'RF-W4'!N11)</f>
        <v>1</v>
      </c>
    </row>
    <row r="38" spans="2:5" x14ac:dyDescent="0.2">
      <c r="D38" s="5" t="s">
        <v>180</v>
      </c>
      <c r="E38" s="5">
        <f>IF('RF-W4'!N12="","",'RF-W4'!N12)</f>
        <v>1</v>
      </c>
    </row>
    <row r="39" spans="2:5" x14ac:dyDescent="0.2">
      <c r="D39" s="5" t="s">
        <v>181</v>
      </c>
      <c r="E39" s="5">
        <f>IF('RF-W4'!N13="","",'RF-W4'!N13)</f>
        <v>1</v>
      </c>
    </row>
    <row r="40" spans="2:5" x14ac:dyDescent="0.2">
      <c r="B40" s="6"/>
      <c r="D40" s="5" t="s">
        <v>184</v>
      </c>
      <c r="E40" s="5">
        <f>IF('RF-W4'!N14="","",'RF-W4'!N14)</f>
        <v>1</v>
      </c>
    </row>
    <row r="41" spans="2:5" x14ac:dyDescent="0.2">
      <c r="D41" s="5" t="s">
        <v>185</v>
      </c>
      <c r="E41" s="5">
        <f>IF('RF-W4'!N15="","",'RF-W4'!N15)</f>
        <v>1</v>
      </c>
    </row>
    <row r="42" spans="2:5" x14ac:dyDescent="0.2">
      <c r="D42" s="5" t="s">
        <v>28</v>
      </c>
      <c r="E42" s="5">
        <f>IF('RF-W4'!N16="","",'RF-W4'!N16)</f>
        <v>1</v>
      </c>
    </row>
    <row r="43" spans="2:5" x14ac:dyDescent="0.2">
      <c r="D43" s="5" t="s">
        <v>186</v>
      </c>
      <c r="E43" s="5">
        <f>IF('RF-W4'!N17="","",'RF-W4'!N17)</f>
        <v>1</v>
      </c>
    </row>
    <row r="44" spans="2:5" x14ac:dyDescent="0.2">
      <c r="C44" s="47" t="s">
        <v>143</v>
      </c>
      <c r="D44" s="5" t="s">
        <v>182</v>
      </c>
      <c r="E44" s="5">
        <f>IF(RF!N10="","",RF!N10)</f>
        <v>1</v>
      </c>
    </row>
    <row r="45" spans="2:5" x14ac:dyDescent="0.2">
      <c r="C45" s="5"/>
      <c r="D45" s="5" t="s">
        <v>183</v>
      </c>
      <c r="E45" s="5">
        <f>IF(RF!N11="","",RF!N11)</f>
        <v>1</v>
      </c>
    </row>
    <row r="46" spans="2:5" x14ac:dyDescent="0.2">
      <c r="C46" s="5"/>
      <c r="D46" s="5" t="s">
        <v>180</v>
      </c>
      <c r="E46" s="5">
        <f>IF(RF!N12="","",RF!N12)</f>
        <v>1</v>
      </c>
    </row>
    <row r="47" spans="2:5" x14ac:dyDescent="0.2">
      <c r="C47" s="5"/>
      <c r="D47" s="5" t="s">
        <v>181</v>
      </c>
      <c r="E47" s="5">
        <f>IF(RF!N13="","",RF!N13)</f>
        <v>1</v>
      </c>
    </row>
    <row r="48" spans="2:5" x14ac:dyDescent="0.2">
      <c r="C48" s="5"/>
      <c r="D48" s="5" t="s">
        <v>184</v>
      </c>
      <c r="E48" s="5">
        <f>IF(RF!N14="","",RF!N14)</f>
        <v>1</v>
      </c>
    </row>
    <row r="49" spans="3:5" x14ac:dyDescent="0.2">
      <c r="C49" s="5"/>
      <c r="D49" s="5" t="s">
        <v>185</v>
      </c>
      <c r="E49" s="5">
        <f>IF(RF!N15="","",RF!N15)</f>
        <v>1</v>
      </c>
    </row>
    <row r="50" spans="3:5" x14ac:dyDescent="0.2">
      <c r="C50" s="5"/>
      <c r="D50" s="5" t="s">
        <v>28</v>
      </c>
      <c r="E50" s="5">
        <f>IF(RF!N16="","",RF!N16)</f>
        <v>1</v>
      </c>
    </row>
    <row r="51" spans="3:5" x14ac:dyDescent="0.2">
      <c r="C51" s="5"/>
      <c r="D51" s="5" t="s">
        <v>186</v>
      </c>
      <c r="E51" s="5">
        <f>IF(RF!N17="","",RF!N17)</f>
        <v>1</v>
      </c>
    </row>
    <row r="52" spans="3:5" x14ac:dyDescent="0.2">
      <c r="C52" s="5"/>
      <c r="D52" s="5"/>
      <c r="E52" s="5"/>
    </row>
    <row r="53" spans="3:5" x14ac:dyDescent="0.2">
      <c r="C53" s="5"/>
      <c r="D53" s="5"/>
      <c r="E53" s="5"/>
    </row>
    <row r="54" spans="3:5" x14ac:dyDescent="0.2">
      <c r="C54" s="5"/>
      <c r="D54" s="5"/>
      <c r="E54" s="5"/>
    </row>
    <row r="55" spans="3:5" x14ac:dyDescent="0.2">
      <c r="C55" s="5"/>
      <c r="D55" s="5"/>
      <c r="E55" s="5"/>
    </row>
    <row r="56" spans="3:5" x14ac:dyDescent="0.2">
      <c r="C56" s="5"/>
      <c r="D56" s="5"/>
      <c r="E56" s="5"/>
    </row>
    <row r="57" spans="3:5" x14ac:dyDescent="0.2">
      <c r="D57" s="5"/>
      <c r="E57" s="5"/>
    </row>
    <row r="58" spans="3:5" x14ac:dyDescent="0.2">
      <c r="D58" s="5"/>
      <c r="E58" s="5"/>
    </row>
    <row r="59" spans="3:5" x14ac:dyDescent="0.2">
      <c r="D59" s="5"/>
      <c r="E59" s="5"/>
    </row>
    <row r="60" spans="3:5" x14ac:dyDescent="0.2">
      <c r="D60" s="5"/>
      <c r="E60" s="5"/>
    </row>
    <row r="61" spans="3:5" x14ac:dyDescent="0.2">
      <c r="D61" s="5"/>
      <c r="E61" s="5"/>
    </row>
    <row r="62" spans="3:5" x14ac:dyDescent="0.2">
      <c r="D62" s="5"/>
      <c r="E62" s="5"/>
    </row>
    <row r="63" spans="3:5" x14ac:dyDescent="0.2">
      <c r="D63" s="5"/>
      <c r="E63" s="5"/>
    </row>
    <row r="64" spans="3:5" x14ac:dyDescent="0.2">
      <c r="D64" s="5"/>
      <c r="E64" s="5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Charts</vt:lpstr>
      </vt:variant>
      <vt:variant>
        <vt:i4>3</vt:i4>
      </vt:variant>
    </vt:vector>
  </HeadingPairs>
  <TitlesOfParts>
    <vt:vector size="18" baseType="lpstr">
      <vt:lpstr>Formulas</vt:lpstr>
      <vt:lpstr>LogRidge&gt;</vt:lpstr>
      <vt:lpstr>LogRidge</vt:lpstr>
      <vt:lpstr>LogRidge-W</vt:lpstr>
      <vt:lpstr>LogRidge Data</vt:lpstr>
      <vt:lpstr>SVM&gt;</vt:lpstr>
      <vt:lpstr>SVM Linear</vt:lpstr>
      <vt:lpstr>SVM Polynomial</vt:lpstr>
      <vt:lpstr>SVM Radial</vt:lpstr>
      <vt:lpstr>SVM Weighted Radial</vt:lpstr>
      <vt:lpstr>SVM Data</vt:lpstr>
      <vt:lpstr>Random Forest&gt;</vt:lpstr>
      <vt:lpstr>RF</vt:lpstr>
      <vt:lpstr>RF-W4</vt:lpstr>
      <vt:lpstr>Random Forest Data</vt:lpstr>
      <vt:lpstr>LogRidge Chart</vt:lpstr>
      <vt:lpstr>SVM Chart</vt:lpstr>
      <vt:lpstr>Random Forest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Zoë E. Laky</dc:creator>
  <cp:lastModifiedBy>Laky, Zoe</cp:lastModifiedBy>
  <cp:lastPrinted>2025-07-12T16:52:49Z</cp:lastPrinted>
  <dcterms:created xsi:type="dcterms:W3CDTF">2023-07-22T23:18:50Z</dcterms:created>
  <dcterms:modified xsi:type="dcterms:W3CDTF">2026-05-31T21:31:14Z</dcterms:modified>
</cp:coreProperties>
</file>